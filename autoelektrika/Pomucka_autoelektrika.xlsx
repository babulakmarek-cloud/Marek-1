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Úbytek a průřez" sheetId="2" state="visible" r:id="rId2"/>
    <sheet xmlns:r="http://schemas.openxmlformats.org/officeDocument/2006/relationships" name="Pojistka a kabel" sheetId="3" state="visible" r:id="rId3"/>
    <sheet xmlns:r="http://schemas.openxmlformats.org/officeDocument/2006/relationships" name="Výkon a proud" sheetId="4" state="visible" r:id="rId4"/>
    <sheet xmlns:r="http://schemas.openxmlformats.org/officeDocument/2006/relationships" name="Baterie" sheetId="5" state="visible" r:id="rId5"/>
    <sheet xmlns:r="http://schemas.openxmlformats.org/officeDocument/2006/relationships" name="Zdroje a měniče" sheetId="6" state="visible" r:id="rId6"/>
    <sheet xmlns:r="http://schemas.openxmlformats.org/officeDocument/2006/relationships" name="Energetická bilance" sheetId="7" state="visible" r:id="rId7"/>
    <sheet xmlns:r="http://schemas.openxmlformats.org/officeDocument/2006/relationships" name="Tabulky" sheetId="8" state="visible" r:id="rId8"/>
    <sheet xmlns:r="http://schemas.openxmlformats.org/officeDocument/2006/relationships" name="Check nový okruh" sheetId="9" state="visible" r:id="rId9"/>
    <sheet xmlns:r="http://schemas.openxmlformats.org/officeDocument/2006/relationships" name="Check diagnostika" sheetId="10" state="visible" r:id="rId10"/>
    <sheet xmlns:r="http://schemas.openxmlformats.org/officeDocument/2006/relationships" name="Check ostrovní systém" sheetId="11" state="visible" r:id="rId11"/>
    <sheet xmlns:r="http://schemas.openxmlformats.org/officeDocument/2006/relationships" name="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9">
    <font>
      <name val="Calibri"/>
      <family val="2"/>
      <color theme="1"/>
      <sz val="11"/>
      <scheme val="minor"/>
    </font>
    <font>
      <b val="1"/>
      <color rgb="000B63D1"/>
      <sz val="15"/>
    </font>
    <font>
      <i val="1"/>
      <color rgb="005B6877"/>
    </font>
    <font>
      <b val="1"/>
      <color rgb="00FFFFFF"/>
    </font>
    <font>
      <b val="1"/>
      <color rgb="000000FF"/>
    </font>
    <font>
      <color rgb="005B6877"/>
    </font>
    <font/>
    <font>
      <b val="1"/>
    </font>
    <font>
      <i val="1"/>
      <color rgb="005B6877"/>
      <sz val="9"/>
    </font>
  </fonts>
  <fills count="6">
    <fill>
      <patternFill/>
    </fill>
    <fill>
      <patternFill patternType="gray125"/>
    </fill>
    <fill>
      <patternFill patternType="solid">
        <fgColor rgb="000B63D1"/>
      </patternFill>
    </fill>
    <fill>
      <patternFill patternType="solid">
        <fgColor rgb="00FFF2CC"/>
      </patternFill>
    </fill>
    <fill>
      <patternFill patternType="solid">
        <fgColor rgb="00E8F0FC"/>
      </patternFill>
    </fill>
    <fill>
      <patternFill patternType="solid">
        <fgColor rgb="00D9E0E8"/>
      </patternFill>
    </fill>
  </fills>
  <borders count="2">
    <border>
      <left/>
      <right/>
      <top/>
      <bottom/>
      <diagonal/>
    </border>
    <border>
      <left style="thin">
        <color rgb="00B8C2CE"/>
      </left>
      <right style="thin">
        <color rgb="00B8C2CE"/>
      </right>
      <top style="thin">
        <color rgb="00B8C2CE"/>
      </top>
      <bottom style="thin">
        <color rgb="00B8C2C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0" pivotButton="0" quotePrefix="0" xfId="0"/>
    <xf numFmtId="0" fontId="0" fillId="2" borderId="0" pivotButton="0" quotePrefix="0" xfId="0"/>
    <xf numFmtId="0" fontId="7" fillId="5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4" fontId="6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  <xf numFmtId="49" fontId="6" fillId="4" borderId="1" applyAlignment="1" pivotButton="0" quotePrefix="0" xfId="0">
      <alignment horizontal="right"/>
    </xf>
    <xf numFmtId="1" fontId="6" fillId="4" borderId="1" applyAlignment="1" pivotButton="0" quotePrefix="0" xfId="0">
      <alignment horizontal="right"/>
    </xf>
    <xf numFmtId="0" fontId="8" fillId="0" borderId="0" pivotButton="0" quotePrefix="0" xfId="0"/>
    <xf numFmtId="164" fontId="7" fillId="4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4" fontId="0" fillId="0" borderId="1" pivotButton="0" quotePrefix="0" xfId="0"/>
    <xf numFmtId="3" fontId="6" fillId="4" borderId="1" applyAlignment="1" pivotButton="0" quotePrefix="0" xfId="0">
      <alignment horizontal="right"/>
    </xf>
    <xf numFmtId="3" fontId="7" fillId="4" borderId="1" applyAlignment="1" pivotButton="0" quotePrefix="0" xfId="0">
      <alignment horizontal="right"/>
    </xf>
    <xf numFmtId="1" fontId="7" fillId="4" borderId="1" applyAlignment="1" pivotButton="0" quotePrefix="0" xfId="0">
      <alignment horizontal="right"/>
    </xf>
    <xf numFmtId="0" fontId="0" fillId="3" borderId="1" pivotButton="0" quotePrefix="0" xfId="0"/>
    <xf numFmtId="0" fontId="7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7" fillId="5" borderId="1" applyAlignment="1" pivotButton="0" quotePrefix="0" xfId="0">
      <alignment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Návod</t>
        </is>
      </c>
    </row>
    <row r="3">
      <c r="A3" t="inlineStr">
        <is>
          <t>Žlutá buňka = vstup (měň), modrá buňka = výsledek (vzorec). Listy odpovídají záložkám webové pomůcky.</t>
        </is>
      </c>
    </row>
    <row r="4">
      <c r="A4" t="inlineStr"/>
    </row>
    <row r="5">
      <c r="A5" t="inlineStr">
        <is>
          <t>Kabely a jištění: Úbytek a průřez | Pojistka a kabel | Výkon a proud (srovnání 12/24/48 V)</t>
        </is>
      </c>
    </row>
    <row r="6">
      <c r="A6" t="inlineStr">
        <is>
          <t>Baterie: Baterie (výdrž, stav nabití, nabíjení, sestavení)</t>
        </is>
      </c>
    </row>
    <row r="7">
      <c r="A7" t="inlineStr">
        <is>
          <t>Zdroje a měniče: DC-DC střídač solár</t>
        </is>
      </c>
    </row>
    <row r="8">
      <c r="A8" t="inlineStr">
        <is>
          <t>Energetická bilance a LED rezistor.</t>
        </is>
      </c>
    </row>
    <row r="9">
      <c r="A9" t="inlineStr">
        <is>
          <t>Tabulky a Checklisty.</t>
        </is>
      </c>
    </row>
    <row r="10">
      <c r="A10" t="inlineStr"/>
    </row>
    <row r="11">
      <c r="A11" t="inlineStr">
        <is>
          <t>Pomůcka je orientační a nenahrazuje údaje výrobce vozidla, baterie ani měniče. Výpočty vždy ověřte.</t>
        </is>
      </c>
    </row>
    <row r="12">
      <c r="A12" t="inlineStr">
        <is>
          <t>Tabulka trvalých proudů kabelů (list Data) je konzervativní pro měděné vodiče ve svazku. Pro 48 V používejte pojistky a vypínače s DC napětím ≥ 58 V.</t>
        </is>
      </c>
    </row>
    <row r="13">
      <c r="A13" t="inlineStr">
        <is>
          <t>List Data obsahuje pomocné tabulky (průřezy, pojistky, E24), na které se odkazují ostatní listy. Neodstraňujte 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3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Úbytek a průřez</t>
        </is>
      </c>
    </row>
    <row r="2">
      <c r="A2" s="2" t="inlineStr">
        <is>
          <t>ΔU = I · ρ · L · k / S; doporučený průřez = max(podle úbytku, podle proudu)</t>
        </is>
      </c>
    </row>
    <row r="4">
      <c r="A4" s="3" t="inlineStr">
        <is>
          <t>Vstupy</t>
        </is>
      </c>
      <c r="B4" s="4" t="n"/>
      <c r="C4" s="4" t="n"/>
      <c r="E4" s="5" t="inlineStr">
        <is>
          <t>mm²</t>
        </is>
      </c>
      <c r="F4" s="5" t="inlineStr">
        <is>
          <t>ΔU %</t>
        </is>
      </c>
      <c r="G4" s="5" t="inlineStr">
        <is>
          <t>I max A</t>
        </is>
      </c>
      <c r="H4" s="5" t="inlineStr">
        <is>
          <t>OK?</t>
        </is>
      </c>
    </row>
    <row r="5">
      <c r="A5" t="inlineStr">
        <is>
          <t>Napětí soustavy</t>
        </is>
      </c>
      <c r="B5" s="6" t="n">
        <v>12</v>
      </c>
      <c r="C5" s="7" t="inlineStr">
        <is>
          <t>V</t>
        </is>
      </c>
      <c r="E5" s="8">
        <f>Data!A3</f>
        <v/>
      </c>
      <c r="F5" s="9">
        <f>$B$15*$B$16/E5/$B$5*100</f>
        <v/>
      </c>
      <c r="G5" s="8">
        <f>Data!B3</f>
        <v/>
      </c>
      <c r="H5" s="8">
        <f>IF(AND(F5&lt;=$B$12,$B$15&lt;=G5),"ano","ne")</f>
        <v/>
      </c>
    </row>
    <row r="6">
      <c r="A6" t="inlineStr">
        <is>
          <t>Zadání (I = proud, P = výkon)</t>
        </is>
      </c>
      <c r="B6" s="6" t="inlineStr">
        <is>
          <t>I</t>
        </is>
      </c>
      <c r="C6" s="7" t="inlineStr"/>
      <c r="E6" s="8">
        <f>Data!A4</f>
        <v/>
      </c>
      <c r="F6" s="9">
        <f>$B$15*$B$16/E6/$B$5*100</f>
        <v/>
      </c>
      <c r="G6" s="8">
        <f>Data!B4</f>
        <v/>
      </c>
      <c r="H6" s="8">
        <f>IF(AND(F6&lt;=$B$12,$B$15&lt;=G6),"ano","ne")</f>
        <v/>
      </c>
    </row>
    <row r="7">
      <c r="A7" t="inlineStr">
        <is>
          <t>Proud (A) / výkon (W)</t>
        </is>
      </c>
      <c r="B7" s="6" t="n">
        <v>30</v>
      </c>
      <c r="C7" s="7" t="inlineStr"/>
      <c r="E7" s="8">
        <f>Data!A5</f>
        <v/>
      </c>
      <c r="F7" s="9">
        <f>$B$15*$B$16/E7/$B$5*100</f>
        <v/>
      </c>
      <c r="G7" s="8">
        <f>Data!B5</f>
        <v/>
      </c>
      <c r="H7" s="8">
        <f>IF(AND(F7&lt;=$B$12,$B$15&lt;=G7),"ano","ne")</f>
        <v/>
      </c>
    </row>
    <row r="8">
      <c r="A8" t="inlineStr">
        <is>
          <t>Délka kabelu (jednosměrně)</t>
        </is>
      </c>
      <c r="B8" s="6" t="n">
        <v>5</v>
      </c>
      <c r="C8" s="7" t="inlineStr">
        <is>
          <t>m</t>
        </is>
      </c>
      <c r="E8" s="8">
        <f>Data!A6</f>
        <v/>
      </c>
      <c r="F8" s="9">
        <f>$B$15*$B$16/E8/$B$5*100</f>
        <v/>
      </c>
      <c r="G8" s="8">
        <f>Data!B6</f>
        <v/>
      </c>
      <c r="H8" s="8">
        <f>IF(AND(F8&lt;=$B$12,$B$15&lt;=G8),"ano","ne")</f>
        <v/>
      </c>
    </row>
    <row r="9">
      <c r="A9" t="inlineStr">
        <is>
          <t>Zpětný vodič (2 = vlastní kabel, 1 = kostra)</t>
        </is>
      </c>
      <c r="B9" s="6" t="n">
        <v>2</v>
      </c>
      <c r="C9" s="7" t="inlineStr"/>
      <c r="E9" s="8">
        <f>Data!A7</f>
        <v/>
      </c>
      <c r="F9" s="9">
        <f>$B$15*$B$16/E9/$B$5*100</f>
        <v/>
      </c>
      <c r="G9" s="8">
        <f>Data!B7</f>
        <v/>
      </c>
      <c r="H9" s="8">
        <f>IF(AND(F9&lt;=$B$12,$B$15&lt;=G9),"ano","ne")</f>
        <v/>
      </c>
    </row>
    <row r="10">
      <c r="A10" t="inlineStr">
        <is>
          <t>Průřez</t>
        </is>
      </c>
      <c r="B10" s="6" t="n">
        <v>6</v>
      </c>
      <c r="C10" s="7" t="inlineStr">
        <is>
          <t>mm²</t>
        </is>
      </c>
      <c r="E10" s="8">
        <f>Data!A8</f>
        <v/>
      </c>
      <c r="F10" s="9">
        <f>$B$15*$B$16/E10/$B$5*100</f>
        <v/>
      </c>
      <c r="G10" s="8">
        <f>Data!B8</f>
        <v/>
      </c>
      <c r="H10" s="8">
        <f>IF(AND(F10&lt;=$B$12,$B$15&lt;=G10),"ano","ne")</f>
        <v/>
      </c>
    </row>
    <row r="11">
      <c r="A11" t="inlineStr">
        <is>
          <t>Teplota vodiče</t>
        </is>
      </c>
      <c r="B11" s="6" t="n">
        <v>50</v>
      </c>
      <c r="C11" s="7" t="inlineStr">
        <is>
          <t>°C</t>
        </is>
      </c>
      <c r="E11" s="8">
        <f>Data!A9</f>
        <v/>
      </c>
      <c r="F11" s="9">
        <f>$B$15*$B$16/E11/$B$5*100</f>
        <v/>
      </c>
      <c r="G11" s="8">
        <f>Data!B9</f>
        <v/>
      </c>
      <c r="H11" s="8">
        <f>IF(AND(F11&lt;=$B$12,$B$15&lt;=G11),"ano","ne")</f>
        <v/>
      </c>
    </row>
    <row r="12">
      <c r="A12" t="inlineStr">
        <is>
          <t>Povolený úbytek</t>
        </is>
      </c>
      <c r="B12" s="6" t="n">
        <v>3</v>
      </c>
      <c r="C12" s="7" t="inlineStr">
        <is>
          <t>%</t>
        </is>
      </c>
      <c r="E12" s="8">
        <f>Data!A10</f>
        <v/>
      </c>
      <c r="F12" s="9">
        <f>$B$15*$B$16/E12/$B$5*100</f>
        <v/>
      </c>
      <c r="G12" s="8">
        <f>Data!B10</f>
        <v/>
      </c>
      <c r="H12" s="8">
        <f>IF(AND(F12&lt;=$B$12,$B$15&lt;=G12),"ano","ne")</f>
        <v/>
      </c>
    </row>
    <row r="13">
      <c r="E13" s="8">
        <f>Data!A11</f>
        <v/>
      </c>
      <c r="F13" s="9">
        <f>$B$15*$B$16/E13/$B$5*100</f>
        <v/>
      </c>
      <c r="G13" s="8">
        <f>Data!B11</f>
        <v/>
      </c>
      <c r="H13" s="8">
        <f>IF(AND(F13&lt;=$B$12,$B$15&lt;=G13),"ano","ne")</f>
        <v/>
      </c>
    </row>
    <row r="14">
      <c r="A14" s="3" t="inlineStr">
        <is>
          <t>Výsledky</t>
        </is>
      </c>
      <c r="B14" s="4" t="n"/>
      <c r="C14" s="4" t="n"/>
      <c r="E14" s="8">
        <f>Data!A12</f>
        <v/>
      </c>
      <c r="F14" s="9">
        <f>$B$15*$B$16/E14/$B$5*100</f>
        <v/>
      </c>
      <c r="G14" s="8">
        <f>Data!B12</f>
        <v/>
      </c>
      <c r="H14" s="8">
        <f>IF(AND(F14&lt;=$B$12,$B$15&lt;=G14),"ano","ne")</f>
        <v/>
      </c>
    </row>
    <row r="15">
      <c r="A15" t="inlineStr">
        <is>
          <t>Proud</t>
        </is>
      </c>
      <c r="B15" s="10">
        <f>IF($B$6="I",$B$7,$B$7/$B$5)</f>
        <v/>
      </c>
      <c r="C15" s="7" t="inlineStr">
        <is>
          <t>A</t>
        </is>
      </c>
      <c r="E15" s="8">
        <f>Data!A13</f>
        <v/>
      </c>
      <c r="F15" s="9">
        <f>$B$15*$B$16/E15/$B$5*100</f>
        <v/>
      </c>
      <c r="G15" s="8">
        <f>Data!B13</f>
        <v/>
      </c>
      <c r="H15" s="8">
        <f>IF(AND(F15&lt;=$B$12,$B$15&lt;=G15),"ano","ne")</f>
        <v/>
      </c>
    </row>
    <row r="16">
      <c r="A16" t="inlineStr">
        <is>
          <t>Odpor smyčky (L · k · ρ / mm²)</t>
        </is>
      </c>
      <c r="B16" s="11">
        <f>(1/56*(1+0.00393*($B$11-20)))*$B$8*$B$9</f>
        <v/>
      </c>
      <c r="C16" s="7" t="inlineStr">
        <is>
          <t>Ω·mm²</t>
        </is>
      </c>
      <c r="E16" s="8">
        <f>Data!A14</f>
        <v/>
      </c>
      <c r="F16" s="9">
        <f>$B$15*$B$16/E16/$B$5*100</f>
        <v/>
      </c>
      <c r="G16" s="8">
        <f>Data!B14</f>
        <v/>
      </c>
      <c r="H16" s="8">
        <f>IF(AND(F16&lt;=$B$12,$B$15&lt;=G16),"ano","ne")</f>
        <v/>
      </c>
    </row>
    <row r="17">
      <c r="A17" t="inlineStr">
        <is>
          <t>Úbytek napětí</t>
        </is>
      </c>
      <c r="B17" s="12">
        <f>$B$15*$B$16/$B$10</f>
        <v/>
      </c>
      <c r="C17" s="7" t="inlineStr">
        <is>
          <t>V</t>
        </is>
      </c>
      <c r="E17" s="8">
        <f>Data!A15</f>
        <v/>
      </c>
      <c r="F17" s="9">
        <f>$B$15*$B$16/E17/$B$5*100</f>
        <v/>
      </c>
      <c r="G17" s="8">
        <f>Data!B15</f>
        <v/>
      </c>
      <c r="H17" s="8">
        <f>IF(AND(F17&lt;=$B$12,$B$15&lt;=G17),"ano","ne")</f>
        <v/>
      </c>
    </row>
    <row r="18">
      <c r="A18" t="inlineStr">
        <is>
          <t>Úbytek v %</t>
        </is>
      </c>
      <c r="B18" s="13">
        <f>$B$17/$B$5*100</f>
        <v/>
      </c>
      <c r="C18" s="7" t="inlineStr">
        <is>
          <t>%</t>
        </is>
      </c>
      <c r="E18" s="8">
        <f>Data!A16</f>
        <v/>
      </c>
      <c r="F18" s="9">
        <f>$B$15*$B$16/E18/$B$5*100</f>
        <v/>
      </c>
      <c r="G18" s="8">
        <f>Data!B16</f>
        <v/>
      </c>
      <c r="H18" s="8">
        <f>IF(AND(F18&lt;=$B$12,$B$15&lt;=G18),"ano","ne")</f>
        <v/>
      </c>
    </row>
    <row r="19">
      <c r="A19" t="inlineStr">
        <is>
          <t>Hodnocení úbytku</t>
        </is>
      </c>
      <c r="B19" s="14">
        <f>IF($B$18&lt;=$B$12,"OK – vyhovuje","CHYBA – překročeno")</f>
        <v/>
      </c>
      <c r="C19" s="7" t="inlineStr"/>
    </row>
    <row r="20">
      <c r="A20" t="inlineStr">
        <is>
          <t>Trvalý proud zvoleného kabelu</t>
        </is>
      </c>
      <c r="B20" s="15">
        <f>VLOOKUP($B$10,Data!$A$3:$B$16,2,FALSE)</f>
        <v/>
      </c>
      <c r="C20" s="7" t="inlineStr">
        <is>
          <t>A</t>
        </is>
      </c>
    </row>
    <row r="21">
      <c r="A21" t="inlineStr">
        <is>
          <t>Hodnocení proudu</t>
        </is>
      </c>
      <c r="B21" s="14">
        <f>IF($B$15&lt;=$B$20,"OK – vyhovuje","CHYBA – přetíženo")</f>
        <v/>
      </c>
      <c r="C21" s="7" t="inlineStr"/>
    </row>
    <row r="22">
      <c r="A22" t="inlineStr">
        <is>
          <t>Min. průřez podle úbytku</t>
        </is>
      </c>
      <c r="B22" s="12">
        <f>IFERROR(INDEX(Data!$A$3:$A$16,MATCH(TRUE,INDEX($F$5:$F$18&lt;=$B$12,0),0)),"&gt; 95")</f>
        <v/>
      </c>
      <c r="C22" s="7" t="inlineStr">
        <is>
          <t>mm²</t>
        </is>
      </c>
    </row>
    <row r="23">
      <c r="A23" t="inlineStr">
        <is>
          <t>Min. průřez podle proudu</t>
        </is>
      </c>
      <c r="B23" s="12">
        <f>IFERROR(INDEX(Data!$A$3:$A$16,MATCH(TRUE,INDEX(Data!$B$3:$B$16&gt;=$B$15,0),0)),"&gt; 95")</f>
        <v/>
      </c>
      <c r="C23" s="7" t="inlineStr">
        <is>
          <t>mm²</t>
        </is>
      </c>
    </row>
    <row r="24">
      <c r="A24" t="inlineStr">
        <is>
          <t>Doporučený průřez</t>
        </is>
      </c>
      <c r="B24" s="13">
        <f>IF(AND(ISNUMBER($B$22),ISNUMBER($B$23)),MAX($B$22,$B$23),"mimo tabulku")</f>
        <v/>
      </c>
      <c r="C24" s="7" t="inlineStr">
        <is>
          <t>mm²</t>
        </is>
      </c>
    </row>
    <row r="25">
      <c r="A25" t="inlineStr">
        <is>
          <t>Ztráty v kabelu</t>
        </is>
      </c>
      <c r="B25" s="10">
        <f>$B$15^2*$B$16/$B$10</f>
        <v/>
      </c>
      <c r="C25" s="7" t="inlineStr">
        <is>
          <t>W</t>
        </is>
      </c>
    </row>
  </sheetData>
  <conditionalFormatting sqref="B19">
    <cfRule type="expression" priority="1" dxfId="0">
      <formula>ISNUMBER(SEARCH("OK",B19))</formula>
    </cfRule>
    <cfRule type="expression" priority="2" dxfId="1">
      <formula>ISNUMBER(SEARCH("CHYBA",B19))</formula>
    </cfRule>
    <cfRule type="expression" priority="3" dxfId="2">
      <formula>ISNUMBER(SEARCH("POZOR",B19))</formula>
    </cfRule>
  </conditionalFormatting>
  <conditionalFormatting sqref="B21">
    <cfRule type="expression" priority="4" dxfId="0">
      <formula>ISNUMBER(SEARCH("OK",B21))</formula>
    </cfRule>
    <cfRule type="expression" priority="5" dxfId="1">
      <formula>ISNUMBER(SEARCH("CHYBA",B21))</formula>
    </cfRule>
    <cfRule type="expression" priority="6" dxfId="2">
      <formula>ISNUMBER(SEARCH("POZOR",B21))</formula>
    </cfRule>
  </conditionalFormatting>
  <dataValidations count="5">
    <dataValidation sqref="B5" showDropDown="0" showInputMessage="0" showErrorMessage="0" allowBlank="0" type="list">
      <formula1>"12,24,48"</formula1>
    </dataValidation>
    <dataValidation sqref="B6" showDropDown="0" showInputMessage="0" showErrorMessage="0" allowBlank="0" type="list">
      <formula1>"I,P"</formula1>
    </dataValidation>
    <dataValidation sqref="B9" showDropDown="0" showInputMessage="0" showErrorMessage="0" allowBlank="0" type="list">
      <formula1>"1,2"</formula1>
    </dataValidation>
    <dataValidation sqref="B10" showDropDown="0" showInputMessage="0" showErrorMessage="0" allowBlank="0" type="list">
      <formula1>"0.5,0.75,1,1.5,2.5,4,6,10,16,25,35,50,70,95"</formula1>
    </dataValidation>
    <dataValidation sqref="B12" showDropDown="0" showInputMessage="0" showErrorMessage="0" allowBlank="0" type="list">
      <formula1>"1,2,3,5"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Pojistka a kabel</t>
        </is>
      </c>
    </row>
    <row r="2">
      <c r="A2" s="2" t="inlineStr">
        <is>
          <t>Pojistka ≥ rezerva × trvalý proud a ≤ zatížitelnost kabelu</t>
        </is>
      </c>
    </row>
    <row r="4">
      <c r="A4" t="inlineStr">
        <is>
          <t>Napětí soustavy</t>
        </is>
      </c>
      <c r="B4" s="6" t="n">
        <v>12</v>
      </c>
      <c r="C4" s="7" t="inlineStr">
        <is>
          <t>V</t>
        </is>
      </c>
    </row>
    <row r="5">
      <c r="A5" t="inlineStr">
        <is>
          <t>Trvalý proud zátěže</t>
        </is>
      </c>
      <c r="B5" s="6" t="n">
        <v>30</v>
      </c>
      <c r="C5" s="7" t="inlineStr">
        <is>
          <t>A</t>
        </is>
      </c>
    </row>
    <row r="6">
      <c r="A6" t="inlineStr">
        <is>
          <t>Rezerva (×)</t>
        </is>
      </c>
      <c r="B6" s="6" t="n">
        <v>1.25</v>
      </c>
      <c r="C6" s="7" t="inlineStr"/>
    </row>
    <row r="7">
      <c r="A7" t="inlineStr">
        <is>
          <t>Délka kabelu (jednosměrně)</t>
        </is>
      </c>
      <c r="B7" s="6" t="n">
        <v>3</v>
      </c>
      <c r="C7" s="7" t="inlineStr">
        <is>
          <t>m</t>
        </is>
      </c>
    </row>
    <row r="8">
      <c r="A8" t="inlineStr">
        <is>
          <t>Vnitřní odpor baterie</t>
        </is>
      </c>
      <c r="B8" s="6" t="n">
        <v>5</v>
      </c>
      <c r="C8" s="7" t="inlineStr">
        <is>
          <t>mΩ</t>
        </is>
      </c>
    </row>
    <row r="9">
      <c r="A9" s="16" t="inlineStr">
        <is>
          <t>Orientačně: olovo 100 Ah ≈ 5 mΩ na 12 V; LiFePO₄ 100 Ah ≈ 10–20 mΩ na 12 V (násobek pro 24/48 V).</t>
        </is>
      </c>
    </row>
    <row r="11">
      <c r="A11" s="3" t="inlineStr">
        <is>
          <t>Výsledky</t>
        </is>
      </c>
      <c r="B11" s="4" t="n"/>
      <c r="C11" s="4" t="n"/>
    </row>
    <row r="12">
      <c r="A12" t="inlineStr">
        <is>
          <t>Min. pojistka (I × rezerva)</t>
        </is>
      </c>
      <c r="B12" s="10">
        <f>$B$5*$B$6</f>
        <v/>
      </c>
      <c r="C12" s="7" t="inlineStr">
        <is>
          <t>A</t>
        </is>
      </c>
    </row>
    <row r="13">
      <c r="A13" t="inlineStr">
        <is>
          <t>Doporučená pojistka</t>
        </is>
      </c>
      <c r="B13" s="17">
        <f>IFERROR(INDEX(Data!$D$3:$D$29,MATCH(TRUE,INDEX(Data!$D$3:$D$29&gt;=$B$12,0),0)),"&gt; 500")</f>
        <v/>
      </c>
      <c r="C13" s="7" t="inlineStr">
        <is>
          <t>A</t>
        </is>
      </c>
    </row>
    <row r="14">
      <c r="A14" t="inlineStr">
        <is>
          <t>Kabel pod pojistkou</t>
        </is>
      </c>
      <c r="B14" s="13">
        <f>IFERROR(INDEX(Data!$A$3:$A$16,MATCH(TRUE,INDEX(Data!$B$3:$B$16&gt;=$B$13,0),0)),"mimo tabulku")</f>
        <v/>
      </c>
      <c r="C14" s="7" t="inlineStr">
        <is>
          <t>mm²</t>
        </is>
      </c>
    </row>
    <row r="15">
      <c r="A15" t="inlineStr">
        <is>
          <t>Typ pojistky</t>
        </is>
      </c>
      <c r="B15" s="14">
        <f>IF(NOT(ISNUMBER($B$13)),"Class T / jistič",IF($B$13&lt;=40,"plochá (ISO 8820)",IF($B$13&lt;=200,"MIDI / MEGA / ANL","MEGA / ANL / Class T")))</f>
        <v/>
      </c>
      <c r="C15" s="7" t="inlineStr"/>
    </row>
    <row r="16">
      <c r="A16" t="inlineStr">
        <is>
          <t>Min. DC napětí pojistky</t>
        </is>
      </c>
      <c r="B16" s="14">
        <f>IF($B$4&lt;=24,"32 V DC – standardní","58 V DC – speciální")</f>
        <v/>
      </c>
      <c r="C16" s="7" t="inlineStr"/>
    </row>
    <row r="17">
      <c r="A17" t="inlineStr">
        <is>
          <t>Odpor kabelu (tam a zpět)</t>
        </is>
      </c>
      <c r="B17" s="11">
        <f>IFERROR((1/56*(1+0.00393*(20-20)))*$B$7*2/$B$14,0)</f>
        <v/>
      </c>
      <c r="C17" s="7" t="inlineStr">
        <is>
          <t>Ω</t>
        </is>
      </c>
    </row>
    <row r="18">
      <c r="A18" t="inlineStr">
        <is>
          <t>Odhad zkratového proudu</t>
        </is>
      </c>
      <c r="B18" s="15">
        <f>$B$4/($B$8/1000+$B$17)</f>
        <v/>
      </c>
      <c r="C18" s="7" t="inlineStr">
        <is>
          <t>A</t>
        </is>
      </c>
    </row>
    <row r="19">
      <c r="A19" t="inlineStr">
        <is>
          <t>Pojistka vs. zkrat</t>
        </is>
      </c>
      <c r="B19" s="14">
        <f>IF($B$18&gt;=5*$B$13,"OK – rychlé vypnutí","POZOR – zkrat vypne pomalu")</f>
        <v/>
      </c>
      <c r="C19" s="7" t="inlineStr"/>
    </row>
    <row r="20">
      <c r="A20" s="16" t="inlineStr">
        <is>
          <t>Při Isc &gt; 1000 A použij pojistku s dostatečnou vypínací schopností (MEGA, ANL, Class T).</t>
        </is>
      </c>
    </row>
  </sheetData>
  <conditionalFormatting sqref="B19">
    <cfRule type="expression" priority="1" dxfId="0">
      <formula>ISNUMBER(SEARCH("OK",B19))</formula>
    </cfRule>
    <cfRule type="expression" priority="2" dxfId="1">
      <formula>ISNUMBER(SEARCH("CHYBA",B19))</formula>
    </cfRule>
    <cfRule type="expression" priority="3" dxfId="2">
      <formula>ISNUMBER(SEARCH("POZOR",B19))</formula>
    </cfRule>
  </conditionalFormatting>
  <dataValidations count="1">
    <dataValidation sqref="B4" showDropDown="0" showInputMessage="0" showErrorMessage="0" allowBlank="0" type="list">
      <formula1>"12,24,48"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Výkon a proud</t>
        </is>
      </c>
    </row>
    <row r="2">
      <c r="A2" s="2" t="inlineStr">
        <is>
          <t>P = U·I; R = U²/P; srovnání 12/24/48 V</t>
        </is>
      </c>
    </row>
    <row r="4">
      <c r="A4" s="3" t="inlineStr">
        <is>
          <t>Výkon ↔ proud ↔ odpor</t>
        </is>
      </c>
      <c r="B4" s="4" t="n"/>
      <c r="C4" s="4" t="n"/>
    </row>
    <row r="5">
      <c r="A5" t="inlineStr">
        <is>
          <t>Napětí</t>
        </is>
      </c>
      <c r="B5" s="6" t="n">
        <v>12</v>
      </c>
      <c r="C5" s="7" t="inlineStr">
        <is>
          <t>V</t>
        </is>
      </c>
    </row>
    <row r="6">
      <c r="A6" t="inlineStr">
        <is>
          <t>Výkon (vyplň P nebo I)</t>
        </is>
      </c>
      <c r="B6" s="6" t="n">
        <v>600</v>
      </c>
      <c r="C6" s="7" t="inlineStr">
        <is>
          <t>W</t>
        </is>
      </c>
    </row>
    <row r="7">
      <c r="A7" t="inlineStr">
        <is>
          <t>Proud (volitelně, přepíše P)</t>
        </is>
      </c>
      <c r="B7" s="6" t="n"/>
      <c r="C7" s="7" t="inlineStr">
        <is>
          <t>A</t>
        </is>
      </c>
    </row>
    <row r="8">
      <c r="A8" t="inlineStr">
        <is>
          <t>Účinnost zařízení</t>
        </is>
      </c>
      <c r="B8" s="6" t="n">
        <v>100</v>
      </c>
      <c r="C8" s="7" t="inlineStr">
        <is>
          <t>%</t>
        </is>
      </c>
    </row>
    <row r="9">
      <c r="A9" t="inlineStr">
        <is>
          <t>Výkon</t>
        </is>
      </c>
      <c r="B9" s="10">
        <f>IF($B$7&lt;&gt;"",$B$7*$B$5,$B$6)</f>
        <v/>
      </c>
      <c r="C9" s="7" t="inlineStr">
        <is>
          <t>W</t>
        </is>
      </c>
    </row>
    <row r="10">
      <c r="A10" t="inlineStr">
        <is>
          <t>Proud z baterie</t>
        </is>
      </c>
      <c r="B10" s="13">
        <f>$B$9/($B$5*$B$8/100)</f>
        <v/>
      </c>
      <c r="C10" s="7" t="inlineStr">
        <is>
          <t>A</t>
        </is>
      </c>
    </row>
    <row r="11">
      <c r="A11" t="inlineStr">
        <is>
          <t>Odpor zátěže R = U²/P</t>
        </is>
      </c>
      <c r="B11" s="18">
        <f>$B$5^2/$B$9</f>
        <v/>
      </c>
      <c r="C11" s="7" t="inlineStr">
        <is>
          <t>Ω</t>
        </is>
      </c>
    </row>
    <row r="12">
      <c r="A12" t="inlineStr">
        <is>
          <t>Energie za 1 hodinu</t>
        </is>
      </c>
      <c r="B12" s="18">
        <f>$B$9/($B$8/100)/1000</f>
        <v/>
      </c>
      <c r="C12" s="7" t="inlineStr">
        <is>
          <t>kWh</t>
        </is>
      </c>
    </row>
    <row r="14">
      <c r="A14" s="3" t="inlineStr">
        <is>
          <t>Stejný výkon při 12 / 24 / 48 V</t>
        </is>
      </c>
      <c r="B14" s="4" t="n"/>
      <c r="C14" s="4" t="n"/>
    </row>
    <row r="15">
      <c r="A15" t="inlineStr">
        <is>
          <t>Výkon zátěže</t>
        </is>
      </c>
      <c r="B15" s="6" t="n">
        <v>2000</v>
      </c>
      <c r="C15" s="7" t="inlineStr">
        <is>
          <t>W</t>
        </is>
      </c>
    </row>
    <row r="16">
      <c r="A16" t="inlineStr">
        <is>
          <t>Délka kabelu (jednosměrně)</t>
        </is>
      </c>
      <c r="B16" s="6" t="n">
        <v>5</v>
      </c>
      <c r="C16" s="7" t="inlineStr">
        <is>
          <t>m</t>
        </is>
      </c>
    </row>
    <row r="17">
      <c r="A17" t="inlineStr">
        <is>
          <t>Povolený úbytek</t>
        </is>
      </c>
      <c r="B17" s="6" t="n">
        <v>3</v>
      </c>
      <c r="C17" s="7" t="inlineStr">
        <is>
          <t>%</t>
        </is>
      </c>
    </row>
    <row r="19">
      <c r="A19" s="5" t="inlineStr">
        <is>
          <t>Systém V</t>
        </is>
      </c>
      <c r="B19" s="5" t="inlineStr">
        <is>
          <t>I (A)</t>
        </is>
      </c>
      <c r="C19" s="5" t="inlineStr">
        <is>
          <t>Kabel mm²</t>
        </is>
      </c>
      <c r="D19" s="5" t="inlineStr">
        <is>
          <t>Pojistka A</t>
        </is>
      </c>
    </row>
    <row r="20">
      <c r="A20" s="8" t="n">
        <v>12</v>
      </c>
      <c r="B20" s="19">
        <f>$B$15/A20</f>
        <v/>
      </c>
      <c r="C20" s="19">
        <f>IF(AND(ISNUMBER(IFERROR(INDEX(Data!$A$3:$A$16,MATCH(TRUE,INDEX(B20*(1/56*(1+0.00393*(50-20)))*$B$16*2/Data!$A$3:$A$16/A20*100&lt;=$B$17,0),0)),"&gt; 95")),ISNUMBER(IFERROR(INDEX(Data!$A$3:$A$16,MATCH(TRUE,INDEX(Data!$B$3:$B$16&gt;=B20,0),0)),"&gt; 95"))),MAX(IFERROR(INDEX(Data!$A$3:$A$16,MATCH(TRUE,INDEX(B20*(1/56*(1+0.00393*(50-20)))*$B$16*2/Data!$A$3:$A$16/A20*100&lt;=$B$17,0),0)),"&gt; 95"),IFERROR(INDEX(Data!$A$3:$A$16,MATCH(TRUE,INDEX(Data!$B$3:$B$16&gt;=B20,0),0)),"&gt; 95")),"&gt; 95")</f>
        <v/>
      </c>
      <c r="D20" s="8">
        <f>IFERROR(INDEX(Data!$D$3:$D$29,MATCH(TRUE,INDEX(Data!$D$3:$D$29&gt;=B20*1.25,0),0)),"–")</f>
        <v/>
      </c>
    </row>
    <row r="21">
      <c r="A21" s="8" t="n">
        <v>24</v>
      </c>
      <c r="B21" s="19">
        <f>$B$15/A21</f>
        <v/>
      </c>
      <c r="C21" s="19">
        <f>IF(AND(ISNUMBER(IFERROR(INDEX(Data!$A$3:$A$16,MATCH(TRUE,INDEX(B21*(1/56*(1+0.00393*(50-20)))*$B$16*2/Data!$A$3:$A$16/A21*100&lt;=$B$17,0),0)),"&gt; 95")),ISNUMBER(IFERROR(INDEX(Data!$A$3:$A$16,MATCH(TRUE,INDEX(Data!$B$3:$B$16&gt;=B21,0),0)),"&gt; 95"))),MAX(IFERROR(INDEX(Data!$A$3:$A$16,MATCH(TRUE,INDEX(B21*(1/56*(1+0.00393*(50-20)))*$B$16*2/Data!$A$3:$A$16/A21*100&lt;=$B$17,0),0)),"&gt; 95"),IFERROR(INDEX(Data!$A$3:$A$16,MATCH(TRUE,INDEX(Data!$B$3:$B$16&gt;=B21,0),0)),"&gt; 95")),"&gt; 95")</f>
        <v/>
      </c>
      <c r="D21" s="8">
        <f>IFERROR(INDEX(Data!$D$3:$D$29,MATCH(TRUE,INDEX(Data!$D$3:$D$29&gt;=B21*1.25,0),0)),"–")</f>
        <v/>
      </c>
    </row>
    <row r="22">
      <c r="A22" s="8" t="n">
        <v>48</v>
      </c>
      <c r="B22" s="19">
        <f>$B$15/A22</f>
        <v/>
      </c>
      <c r="C22" s="19">
        <f>IF(AND(ISNUMBER(IFERROR(INDEX(Data!$A$3:$A$16,MATCH(TRUE,INDEX(B22*(1/56*(1+0.00393*(50-20)))*$B$16*2/Data!$A$3:$A$16/A22*100&lt;=$B$17,0),0)),"&gt; 95")),ISNUMBER(IFERROR(INDEX(Data!$A$3:$A$16,MATCH(TRUE,INDEX(Data!$B$3:$B$16&gt;=B22,0),0)),"&gt; 95"))),MAX(IFERROR(INDEX(Data!$A$3:$A$16,MATCH(TRUE,INDEX(B22*(1/56*(1+0.00393*(50-20)))*$B$16*2/Data!$A$3:$A$16/A22*100&lt;=$B$17,0),0)),"&gt; 95"),IFERROR(INDEX(Data!$A$3:$A$16,MATCH(TRUE,INDEX(Data!$B$3:$B$16&gt;=B22,0),0)),"&gt; 95")),"&gt; 95")</f>
        <v/>
      </c>
      <c r="D22" s="8">
        <f>IFERROR(INDEX(Data!$D$3:$D$29,MATCH(TRUE,INDEX(Data!$D$3:$D$29&gt;=B22*1.25,0),0)),"–")</f>
        <v/>
      </c>
    </row>
  </sheetData>
  <dataValidations count="1">
    <dataValidation sqref="B5" showDropDown="0" showInputMessage="0" showErrorMessage="0" allowBlank="0" type="list">
      <formula1>"12,24,48"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Baterie</t>
        </is>
      </c>
    </row>
    <row r="2">
      <c r="A2" s="2" t="inlineStr">
        <is>
          <t>Výdrž, stav nabití, nabíjení, sestavení</t>
        </is>
      </c>
    </row>
    <row r="4">
      <c r="A4" s="3" t="inlineStr">
        <is>
          <t>Výdrž a kapacita</t>
        </is>
      </c>
      <c r="B4" s="4" t="n"/>
      <c r="C4" s="4" t="n"/>
    </row>
    <row r="5">
      <c r="A5" t="inlineStr">
        <is>
          <t>Napětí baterie</t>
        </is>
      </c>
      <c r="B5" s="6" t="n">
        <v>12</v>
      </c>
      <c r="C5" s="7" t="inlineStr">
        <is>
          <t>V</t>
        </is>
      </c>
    </row>
    <row r="6">
      <c r="A6" t="inlineStr">
        <is>
          <t>Kapacita</t>
        </is>
      </c>
      <c r="B6" s="6" t="n">
        <v>100</v>
      </c>
      <c r="C6" s="7" t="inlineStr">
        <is>
          <t>Ah</t>
        </is>
      </c>
    </row>
    <row r="7">
      <c r="A7" t="inlineStr">
        <is>
          <t>Využitelná hloubka vybití (olovo 50, LiFePO₄ 80–90)</t>
        </is>
      </c>
      <c r="B7" s="6" t="n">
        <v>50</v>
      </c>
      <c r="C7" s="7" t="inlineStr">
        <is>
          <t>%</t>
        </is>
      </c>
    </row>
    <row r="8">
      <c r="A8" t="inlineStr">
        <is>
          <t>Zátěž</t>
        </is>
      </c>
      <c r="B8" s="6" t="n">
        <v>200</v>
      </c>
      <c r="C8" s="7" t="inlineStr">
        <is>
          <t>W</t>
        </is>
      </c>
    </row>
    <row r="9">
      <c r="A9" t="inlineStr">
        <is>
          <t>Účinnost (měnič, ztráty)</t>
        </is>
      </c>
      <c r="B9" s="6" t="n">
        <v>90</v>
      </c>
      <c r="C9" s="7" t="inlineStr">
        <is>
          <t>%</t>
        </is>
      </c>
    </row>
    <row r="10">
      <c r="A10" t="inlineStr">
        <is>
          <t>Požadovaná výdrž</t>
        </is>
      </c>
      <c r="B10" s="6" t="n">
        <v>10</v>
      </c>
      <c r="C10" s="7" t="inlineStr">
        <is>
          <t>h</t>
        </is>
      </c>
    </row>
    <row r="11">
      <c r="A11" t="inlineStr">
        <is>
          <t>Energie baterie</t>
        </is>
      </c>
      <c r="B11" s="20">
        <f>$B$5*$B$6</f>
        <v/>
      </c>
      <c r="C11" s="7" t="inlineStr">
        <is>
          <t>Wh</t>
        </is>
      </c>
    </row>
    <row r="12">
      <c r="A12" t="inlineStr">
        <is>
          <t>Využitelná energie</t>
        </is>
      </c>
      <c r="B12" s="20">
        <f>$B$11*$B$7/100</f>
        <v/>
      </c>
      <c r="C12" s="7" t="inlineStr">
        <is>
          <t>Wh</t>
        </is>
      </c>
    </row>
    <row r="13">
      <c r="A13" t="inlineStr">
        <is>
          <t>Proud z baterie</t>
        </is>
      </c>
      <c r="B13" s="10">
        <f>$B$8/($B$5*$B$9/100)</f>
        <v/>
      </c>
      <c r="C13" s="7" t="inlineStr">
        <is>
          <t>A</t>
        </is>
      </c>
    </row>
    <row r="14">
      <c r="A14" t="inlineStr">
        <is>
          <t>Výdrž</t>
        </is>
      </c>
      <c r="B14" s="17">
        <f>$B$12*$B$9/100/$B$8</f>
        <v/>
      </c>
      <c r="C14" s="7" t="inlineStr">
        <is>
          <t>h</t>
        </is>
      </c>
    </row>
    <row r="15">
      <c r="A15" t="inlineStr">
        <is>
          <t>Potřebná kapacita pro požadovanou výdrž</t>
        </is>
      </c>
      <c r="B15" s="21">
        <f>$B$8*$B$10/($B$5*$B$7/100*$B$9/100)</f>
        <v/>
      </c>
      <c r="C15" s="7" t="inlineStr">
        <is>
          <t>Ah</t>
        </is>
      </c>
    </row>
    <row r="16">
      <c r="A16" s="16" t="inlineStr">
        <is>
          <t>Peukertův efekt (u olova) není započítán.</t>
        </is>
      </c>
    </row>
    <row r="18">
      <c r="A18" s="3" t="inlineStr">
        <is>
          <t>Stav nabití olověné baterie z napětí (v klidu ≥ 4 h)</t>
        </is>
      </c>
      <c r="B18" s="4" t="n"/>
      <c r="C18" s="4" t="n"/>
    </row>
    <row r="19">
      <c r="A19" t="inlineStr">
        <is>
          <t>Napětí soustavy</t>
        </is>
      </c>
      <c r="B19" s="6" t="n">
        <v>12</v>
      </c>
      <c r="C19" s="7" t="inlineStr">
        <is>
          <t>V</t>
        </is>
      </c>
    </row>
    <row r="20">
      <c r="A20" t="inlineStr">
        <is>
          <t>Naměřené napětí v klidu</t>
        </is>
      </c>
      <c r="B20" s="6" t="n">
        <v>12.3</v>
      </c>
      <c r="C20" s="7" t="inlineStr">
        <is>
          <t>V</t>
        </is>
      </c>
    </row>
    <row r="21">
      <c r="A21" t="inlineStr">
        <is>
          <t>Přepočet na 12 V</t>
        </is>
      </c>
      <c r="B21" s="18">
        <f>$B$20/($B$19/12)</f>
        <v/>
      </c>
      <c r="C21" s="7" t="inlineStr">
        <is>
          <t>V</t>
        </is>
      </c>
    </row>
    <row r="22">
      <c r="A22" t="inlineStr">
        <is>
          <t>Pomocný index</t>
        </is>
      </c>
      <c r="B22" s="15">
        <f>IF($B$21&lt;=11.8,1,IF($B$21&gt;=12.7,4,MATCH($B$21,Data!$F$3:$F$7,1)))</f>
        <v/>
      </c>
      <c r="C22" s="7" t="inlineStr"/>
    </row>
    <row r="23">
      <c r="A23" t="inlineStr">
        <is>
          <t>Stav nabití (odhad)</t>
        </is>
      </c>
      <c r="B23" s="22">
        <f>IF($B$21&lt;=11.8,0,IF($B$21&gt;=12.7,100,INDEX(Data!$G$3:$G$7,$B$22)+($B$21-INDEX(Data!$F$3:$F$7,$B$22))/(INDEX(Data!$F$3:$F$7,$B$22+1)-INDEX(Data!$F$3:$F$7,$B$22))*(INDEX(Data!$G$3:$G$7,$B$22+1)-INDEX(Data!$G$3:$G$7,$B$22))))</f>
        <v/>
      </c>
      <c r="C23" s="7" t="inlineStr">
        <is>
          <t>%</t>
        </is>
      </c>
    </row>
    <row r="24">
      <c r="A24" t="inlineStr">
        <is>
          <t>Plně nabitá v klidu</t>
        </is>
      </c>
      <c r="B24" s="10">
        <f>12.7*$B$19/12</f>
        <v/>
      </c>
      <c r="C24" s="7" t="inlineStr">
        <is>
          <t>V</t>
        </is>
      </c>
    </row>
    <row r="25">
      <c r="A25" t="inlineStr">
        <is>
          <t>Doporučené odpojení zátěže</t>
        </is>
      </c>
      <c r="B25" s="10">
        <f>10.5*$B$19/12</f>
        <v/>
      </c>
      <c r="C25" s="7" t="inlineStr">
        <is>
          <t>V</t>
        </is>
      </c>
    </row>
    <row r="27">
      <c r="A27" s="3" t="inlineStr">
        <is>
          <t>Doba nabíjení</t>
        </is>
      </c>
      <c r="B27" s="4" t="n"/>
      <c r="C27" s="4" t="n"/>
    </row>
    <row r="28">
      <c r="A28" t="inlineStr">
        <is>
          <t>Napětí baterie</t>
        </is>
      </c>
      <c r="B28" s="6" t="n">
        <v>12</v>
      </c>
      <c r="C28" s="7" t="inlineStr">
        <is>
          <t>V</t>
        </is>
      </c>
    </row>
    <row r="29">
      <c r="A29" t="inlineStr">
        <is>
          <t>Kapacita</t>
        </is>
      </c>
      <c r="B29" s="6" t="n">
        <v>100</v>
      </c>
      <c r="C29" s="7" t="inlineStr">
        <is>
          <t>Ah</t>
        </is>
      </c>
    </row>
    <row r="30">
      <c r="A30" t="inlineStr">
        <is>
          <t>Stav nabití z</t>
        </is>
      </c>
      <c r="B30" s="6" t="n">
        <v>50</v>
      </c>
      <c r="C30" s="7" t="inlineStr">
        <is>
          <t>%</t>
        </is>
      </c>
    </row>
    <row r="31">
      <c r="A31" t="inlineStr">
        <is>
          <t>Stav nabití na</t>
        </is>
      </c>
      <c r="B31" s="6" t="n">
        <v>100</v>
      </c>
      <c r="C31" s="7" t="inlineStr">
        <is>
          <t>%</t>
        </is>
      </c>
    </row>
    <row r="32">
      <c r="A32" t="inlineStr">
        <is>
          <t>Nabíjecí proud</t>
        </is>
      </c>
      <c r="B32" s="6" t="n">
        <v>20</v>
      </c>
      <c r="C32" s="7" t="inlineStr">
        <is>
          <t>A</t>
        </is>
      </c>
    </row>
    <row r="33">
      <c r="A33" t="inlineStr">
        <is>
          <t>Účinnost nabíjení (olovo 85, LiFePO₄ 95)</t>
        </is>
      </c>
      <c r="B33" s="6" t="n">
        <v>85</v>
      </c>
      <c r="C33" s="7" t="inlineStr">
        <is>
          <t>%</t>
        </is>
      </c>
    </row>
    <row r="34">
      <c r="A34" t="inlineStr">
        <is>
          <t>Nabíjecí napětí</t>
        </is>
      </c>
      <c r="B34" s="6" t="n">
        <v>14.4</v>
      </c>
      <c r="C34" s="7" t="inlineStr">
        <is>
          <t>V</t>
        </is>
      </c>
    </row>
    <row r="35">
      <c r="A35" t="inlineStr">
        <is>
          <t>Dodat do baterie</t>
        </is>
      </c>
      <c r="B35" s="10">
        <f>$B$29*($B$31-$B$30)/100</f>
        <v/>
      </c>
      <c r="C35" s="7" t="inlineStr">
        <is>
          <t>Ah</t>
        </is>
      </c>
    </row>
    <row r="36">
      <c r="A36" t="inlineStr">
        <is>
          <t>Doba nabíjení (orientačně)</t>
        </is>
      </c>
      <c r="B36" s="17">
        <f>$B$35/($B$33/100*$B$32)</f>
        <v/>
      </c>
      <c r="C36" s="7" t="inlineStr">
        <is>
          <t>h</t>
        </is>
      </c>
    </row>
    <row r="37">
      <c r="A37" t="inlineStr">
        <is>
          <t>Příkon nabíječe</t>
        </is>
      </c>
      <c r="B37" s="15">
        <f>$B$32*$B$34</f>
        <v/>
      </c>
      <c r="C37" s="7" t="inlineStr">
        <is>
          <t>W</t>
        </is>
      </c>
    </row>
    <row r="38">
      <c r="A38" t="inlineStr">
        <is>
          <t>C-rate</t>
        </is>
      </c>
      <c r="B38" s="12">
        <f>$B$32/$B$29</f>
        <v/>
      </c>
      <c r="C38" s="7" t="inlineStr">
        <is>
          <t>C</t>
        </is>
      </c>
    </row>
    <row r="39">
      <c r="A39" s="16" t="inlineStr">
        <is>
          <t>Olovo: poslední ≈ 20 % (absorpce) trvá o hodiny déle.</t>
        </is>
      </c>
    </row>
    <row r="41">
      <c r="A41" s="3" t="inlineStr">
        <is>
          <t>Sestavení baterie (sériově / paralelně)</t>
        </is>
      </c>
      <c r="B41" s="4" t="n"/>
      <c r="C41" s="4" t="n"/>
    </row>
    <row r="42">
      <c r="A42" t="inlineStr">
        <is>
          <t>Cílové napětí soustavy</t>
        </is>
      </c>
      <c r="B42" s="6" t="n">
        <v>12</v>
      </c>
      <c r="C42" s="7" t="inlineStr">
        <is>
          <t>V</t>
        </is>
      </c>
    </row>
    <row r="43">
      <c r="A43" t="inlineStr">
        <is>
          <t>Jmenovité napětí článku / bloku</t>
        </is>
      </c>
      <c r="B43" s="6" t="n">
        <v>12</v>
      </c>
      <c r="C43" s="7" t="inlineStr">
        <is>
          <t>V</t>
        </is>
      </c>
    </row>
    <row r="44">
      <c r="A44" t="inlineStr">
        <is>
          <t>Kapacita jednoho článku / bloku</t>
        </is>
      </c>
      <c r="B44" s="6" t="n">
        <v>100</v>
      </c>
      <c r="C44" s="7" t="inlineStr">
        <is>
          <t>Ah</t>
        </is>
      </c>
    </row>
    <row r="45">
      <c r="A45" t="inlineStr">
        <is>
          <t>Paralelních větví</t>
        </is>
      </c>
      <c r="B45" s="6" t="n">
        <v>2</v>
      </c>
      <c r="C45" s="7" t="inlineStr"/>
    </row>
    <row r="46">
      <c r="A46" t="inlineStr">
        <is>
          <t>Počet v sérii</t>
        </is>
      </c>
      <c r="B46" s="22">
        <f>ROUND($B$42/$B$43,0)</f>
        <v/>
      </c>
      <c r="C46" s="7" t="inlineStr">
        <is>
          <t>ks</t>
        </is>
      </c>
    </row>
    <row r="47">
      <c r="A47" t="inlineStr">
        <is>
          <t>Napětí sestavy</t>
        </is>
      </c>
      <c r="B47" s="10">
        <f>$B$46*$B$43</f>
        <v/>
      </c>
      <c r="C47" s="7" t="inlineStr">
        <is>
          <t>V</t>
        </is>
      </c>
    </row>
    <row r="48">
      <c r="A48" t="inlineStr">
        <is>
          <t>Celková kapacita</t>
        </is>
      </c>
      <c r="B48" s="15">
        <f>$B$44*$B$45</f>
        <v/>
      </c>
      <c r="C48" s="7" t="inlineStr">
        <is>
          <t>Ah</t>
        </is>
      </c>
    </row>
    <row r="49">
      <c r="A49" t="inlineStr">
        <is>
          <t>Celkem článků / bloků</t>
        </is>
      </c>
      <c r="B49" s="15">
        <f>$B$46*$B$45</f>
        <v/>
      </c>
      <c r="C49" s="7" t="inlineStr">
        <is>
          <t>ks</t>
        </is>
      </c>
    </row>
    <row r="50">
      <c r="A50" t="inlineStr">
        <is>
          <t>Energie</t>
        </is>
      </c>
      <c r="B50" s="12">
        <f>$B$46*$B$43*$B$44*$B$45/1000</f>
        <v/>
      </c>
      <c r="C50" s="7" t="inlineStr">
        <is>
          <t>kWh</t>
        </is>
      </c>
    </row>
  </sheetData>
  <dataValidations count="5">
    <dataValidation sqref="B5" showDropDown="0" showInputMessage="0" showErrorMessage="0" allowBlank="0" type="list">
      <formula1>"12,24,48"</formula1>
    </dataValidation>
    <dataValidation sqref="B19" showDropDown="0" showInputMessage="0" showErrorMessage="0" allowBlank="0" type="list">
      <formula1>"12,24,48"</formula1>
    </dataValidation>
    <dataValidation sqref="B28" showDropDown="0" showInputMessage="0" showErrorMessage="0" allowBlank="0" type="list">
      <formula1>"12,24,48"</formula1>
    </dataValidation>
    <dataValidation sqref="B42" showDropDown="0" showInputMessage="0" showErrorMessage="0" allowBlank="0" type="list">
      <formula1>"12,24,48"</formula1>
    </dataValidation>
    <dataValidation sqref="B43" showDropDown="0" showInputMessage="0" showErrorMessage="0" allowBlank="0" type="list">
      <formula1>"2,3.2,3.7,6,12"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Zdroje a měniče</t>
        </is>
      </c>
    </row>
    <row r="2">
      <c r="A2" s="2" t="inlineStr">
        <is>
          <t>DC-DC měnič, střídač 230 V, solární regulátor</t>
        </is>
      </c>
    </row>
    <row r="4">
      <c r="A4" s="3" t="inlineStr">
        <is>
          <t>DC-DC měnič / nabíječ</t>
        </is>
      </c>
      <c r="B4" s="4" t="n"/>
      <c r="C4" s="4" t="n"/>
    </row>
    <row r="5">
      <c r="A5" t="inlineStr">
        <is>
          <t>Vstupní napětí</t>
        </is>
      </c>
      <c r="B5" s="6" t="n">
        <v>12</v>
      </c>
      <c r="C5" s="7" t="inlineStr">
        <is>
          <t>V</t>
        </is>
      </c>
    </row>
    <row r="6">
      <c r="A6" t="inlineStr">
        <is>
          <t>Výstupní napětí</t>
        </is>
      </c>
      <c r="B6" s="6" t="n">
        <v>24</v>
      </c>
      <c r="C6" s="7" t="inlineStr">
        <is>
          <t>V</t>
        </is>
      </c>
    </row>
    <row r="7">
      <c r="A7" t="inlineStr">
        <is>
          <t>Výstupní proud</t>
        </is>
      </c>
      <c r="B7" s="6" t="n">
        <v>20</v>
      </c>
      <c r="C7" s="7" t="inlineStr">
        <is>
          <t>A</t>
        </is>
      </c>
    </row>
    <row r="8">
      <c r="A8" t="inlineStr">
        <is>
          <t>Účinnost</t>
        </is>
      </c>
      <c r="B8" s="6" t="n">
        <v>92</v>
      </c>
      <c r="C8" s="7" t="inlineStr">
        <is>
          <t>%</t>
        </is>
      </c>
    </row>
    <row r="9">
      <c r="A9" t="inlineStr">
        <is>
          <t>Výstupní výkon</t>
        </is>
      </c>
      <c r="B9" s="15">
        <f>$B$6*$B$7</f>
        <v/>
      </c>
      <c r="C9" s="7" t="inlineStr">
        <is>
          <t>W</t>
        </is>
      </c>
    </row>
    <row r="10">
      <c r="A10" t="inlineStr">
        <is>
          <t>Vstupní proud</t>
        </is>
      </c>
      <c r="B10" s="17">
        <f>$B$9/($B$5*$B$8/100)</f>
        <v/>
      </c>
      <c r="C10" s="7" t="inlineStr">
        <is>
          <t>A</t>
        </is>
      </c>
    </row>
    <row r="11">
      <c r="A11" t="inlineStr">
        <is>
          <t>Ztráty měniče</t>
        </is>
      </c>
      <c r="B11" s="15">
        <f>$B$9/($B$8/100)-$B$9</f>
        <v/>
      </c>
      <c r="C11" s="7" t="inlineStr">
        <is>
          <t>W</t>
        </is>
      </c>
    </row>
    <row r="12">
      <c r="A12" t="inlineStr">
        <is>
          <t>Vstupní pojistka (≥ 1,25 × I)</t>
        </is>
      </c>
      <c r="B12" s="10">
        <f>IFERROR(INDEX(Data!$D$3:$D$29,MATCH(TRUE,INDEX(Data!$D$3:$D$29&gt;=$B$10*1.25,0),0)),"&gt; 500")</f>
        <v/>
      </c>
      <c r="C12" s="7" t="inlineStr">
        <is>
          <t>A</t>
        </is>
      </c>
    </row>
    <row r="13">
      <c r="A13" t="inlineStr">
        <is>
          <t>Vstupní kabel (podle pojistky)</t>
        </is>
      </c>
      <c r="B13" s="12">
        <f>IFERROR(INDEX(Data!$A$3:$A$16,MATCH(TRUE,INDEX(Data!$B$3:$B$16&gt;=$B$12,0),0)),"mimo tabulku")</f>
        <v/>
      </c>
      <c r="C13" s="7" t="inlineStr">
        <is>
          <t>mm²</t>
        </is>
      </c>
    </row>
    <row r="15">
      <c r="A15" s="3" t="inlineStr">
        <is>
          <t>Střídač 12/24/48 V → 230 V</t>
        </is>
      </c>
      <c r="B15" s="4" t="n"/>
      <c r="C15" s="4" t="n"/>
    </row>
    <row r="16">
      <c r="A16" t="inlineStr">
        <is>
          <t>Napětí baterie</t>
        </is>
      </c>
      <c r="B16" s="6" t="n">
        <v>12</v>
      </c>
      <c r="C16" s="7" t="inlineStr">
        <is>
          <t>V</t>
        </is>
      </c>
    </row>
    <row r="17">
      <c r="A17" t="inlineStr">
        <is>
          <t>Trvalý výkon AC</t>
        </is>
      </c>
      <c r="B17" s="6" t="n">
        <v>1500</v>
      </c>
      <c r="C17" s="7" t="inlineStr">
        <is>
          <t>W</t>
        </is>
      </c>
    </row>
    <row r="18">
      <c r="A18" t="inlineStr">
        <is>
          <t>Špičkový výkon AC</t>
        </is>
      </c>
      <c r="B18" s="6" t="n">
        <v>3000</v>
      </c>
      <c r="C18" s="7" t="inlineStr">
        <is>
          <t>W</t>
        </is>
      </c>
    </row>
    <row r="19">
      <c r="A19" t="inlineStr">
        <is>
          <t>Účinnost střídače</t>
        </is>
      </c>
      <c r="B19" s="6" t="n">
        <v>90</v>
      </c>
      <c r="C19" s="7" t="inlineStr">
        <is>
          <t>%</t>
        </is>
      </c>
    </row>
    <row r="20">
      <c r="A20" t="inlineStr">
        <is>
          <t>Délka DC kabelu (jednosměrně)</t>
        </is>
      </c>
      <c r="B20" s="6" t="n">
        <v>1.5</v>
      </c>
      <c r="C20" s="7" t="inlineStr">
        <is>
          <t>m</t>
        </is>
      </c>
    </row>
    <row r="21">
      <c r="A21" t="inlineStr">
        <is>
          <t>Povolený úbytek</t>
        </is>
      </c>
      <c r="B21" s="6" t="n">
        <v>2</v>
      </c>
      <c r="C21" s="7" t="inlineStr">
        <is>
          <t>%</t>
        </is>
      </c>
    </row>
    <row r="22">
      <c r="A22" t="inlineStr">
        <is>
          <t>Trvalý DC proud</t>
        </is>
      </c>
      <c r="B22" s="17">
        <f>$B$17/($B$16*$B$19/100)</f>
        <v/>
      </c>
      <c r="C22" s="7" t="inlineStr">
        <is>
          <t>A</t>
        </is>
      </c>
    </row>
    <row r="23">
      <c r="A23" t="inlineStr">
        <is>
          <t>Špičkový DC proud</t>
        </is>
      </c>
      <c r="B23" s="15">
        <f>$B$18/($B$16*$B$19/100)</f>
        <v/>
      </c>
      <c r="C23" s="7" t="inlineStr">
        <is>
          <t>A</t>
        </is>
      </c>
    </row>
    <row r="24">
      <c r="A24" t="inlineStr">
        <is>
          <t>DC pojistka (≥ 1,25 × I)</t>
        </is>
      </c>
      <c r="B24" s="10">
        <f>IFERROR(INDEX(Data!$D$3:$D$29,MATCH(TRUE,INDEX(Data!$D$3:$D$29&gt;=$B$22*1.25,0),0)),"&gt; 500")</f>
        <v/>
      </c>
      <c r="C24" s="7" t="inlineStr">
        <is>
          <t>A</t>
        </is>
      </c>
    </row>
    <row r="25">
      <c r="A25" t="inlineStr">
        <is>
          <t>DC kabel (úbytek a pojistka)</t>
        </is>
      </c>
      <c r="B25" s="13">
        <f>IF(AND(ISNUMBER(IFERROR(INDEX(Data!$A$3:$A$16,MATCH(TRUE,INDEX($B$22*(1/56*(1+0.00393*(50-20)))*$B$20*2/Data!$A$3:$A$16/$B$16*100&lt;=$B$21,0),0)),"&gt; 95")),ISNUMBER(IFERROR(INDEX(Data!$A$3:$A$16,MATCH(TRUE,INDEX(Data!$B$3:$B$16&gt;=$B$24,0),0)),"&gt; 95"))),MAX(IFERROR(INDEX(Data!$A$3:$A$16,MATCH(TRUE,INDEX($B$22*(1/56*(1+0.00393*(50-20)))*$B$20*2/Data!$A$3:$A$16/$B$16*100&lt;=$B$21,0),0)),"&gt; 95"),IFERROR(INDEX(Data!$A$3:$A$16,MATCH(TRUE,INDEX(Data!$B$3:$B$16&gt;=$B$24,0),0)),"&gt; 95")),"mimo tabulku")</f>
        <v/>
      </c>
      <c r="C25" s="7" t="inlineStr">
        <is>
          <t>mm²</t>
        </is>
      </c>
    </row>
    <row r="26">
      <c r="A26" t="inlineStr">
        <is>
          <t>Min. kapacita baterie – LiFePO₄ (1 C)</t>
        </is>
      </c>
      <c r="B26" s="15">
        <f>$B$22</f>
        <v/>
      </c>
      <c r="C26" s="7" t="inlineStr">
        <is>
          <t>Ah</t>
        </is>
      </c>
    </row>
    <row r="27">
      <c r="A27" t="inlineStr">
        <is>
          <t>Min. kapacita baterie – olovo (0,2 C)</t>
        </is>
      </c>
      <c r="B27" s="15">
        <f>$B$22/0.2</f>
        <v/>
      </c>
      <c r="C27" s="7" t="inlineStr">
        <is>
          <t>Ah</t>
        </is>
      </c>
    </row>
    <row r="29">
      <c r="A29" s="3" t="inlineStr">
        <is>
          <t>Solár — MPPT regulátor a výnos</t>
        </is>
      </c>
      <c r="B29" s="4" t="n"/>
      <c r="C29" s="4" t="n"/>
    </row>
    <row r="30">
      <c r="A30" t="inlineStr">
        <is>
          <t>Napětí baterie</t>
        </is>
      </c>
      <c r="B30" s="6" t="n">
        <v>12</v>
      </c>
      <c r="C30" s="7" t="inlineStr">
        <is>
          <t>V</t>
        </is>
      </c>
    </row>
    <row r="31">
      <c r="A31" t="inlineStr">
        <is>
          <t>Výkon panelů</t>
        </is>
      </c>
      <c r="B31" s="6" t="n">
        <v>400</v>
      </c>
      <c r="C31" s="7" t="inlineStr">
        <is>
          <t>Wp</t>
        </is>
      </c>
    </row>
    <row r="32">
      <c r="A32" t="inlineStr">
        <is>
          <t>Účinnost regulátoru (MPPT 0,95 / PWM 0,78)</t>
        </is>
      </c>
      <c r="B32" s="6" t="n">
        <v>0.95</v>
      </c>
      <c r="C32" s="7" t="inlineStr"/>
    </row>
    <row r="33">
      <c r="A33" t="inlineStr">
        <is>
          <t>Nabíjecí napětí</t>
        </is>
      </c>
      <c r="B33" s="6" t="n">
        <v>14.4</v>
      </c>
      <c r="C33" s="7" t="inlineStr">
        <is>
          <t>V</t>
        </is>
      </c>
    </row>
    <row r="34">
      <c r="A34" t="inlineStr">
        <is>
          <t>Plné sluneční hodiny / den</t>
        </is>
      </c>
      <c r="B34" s="6" t="n">
        <v>3.5</v>
      </c>
      <c r="C34" s="7" t="inlineStr">
        <is>
          <t>h</t>
        </is>
      </c>
    </row>
    <row r="35">
      <c r="A35" t="inlineStr">
        <is>
          <t>Voc panelu</t>
        </is>
      </c>
      <c r="B35" s="6" t="n">
        <v>22.5</v>
      </c>
      <c r="C35" s="7" t="inlineStr">
        <is>
          <t>V</t>
        </is>
      </c>
    </row>
    <row r="36">
      <c r="A36" t="inlineStr">
        <is>
          <t>Panelů v sérii</t>
        </is>
      </c>
      <c r="B36" s="6" t="n">
        <v>2</v>
      </c>
      <c r="C36" s="7" t="inlineStr"/>
    </row>
    <row r="37">
      <c r="A37" t="inlineStr">
        <is>
          <t>TK Voc</t>
        </is>
      </c>
      <c r="B37" s="6" t="n">
        <v>-0.27</v>
      </c>
      <c r="C37" s="7" t="inlineStr">
        <is>
          <t>%/°C</t>
        </is>
      </c>
    </row>
    <row r="38">
      <c r="A38" t="inlineStr">
        <is>
          <t>Min. teplota</t>
        </is>
      </c>
      <c r="B38" s="6" t="n">
        <v>-15</v>
      </c>
      <c r="C38" s="7" t="inlineStr">
        <is>
          <t>°C</t>
        </is>
      </c>
    </row>
    <row r="39">
      <c r="A39" t="inlineStr">
        <is>
          <t>Max. PV napětí regulátoru</t>
        </is>
      </c>
      <c r="B39" s="6" t="n">
        <v>100</v>
      </c>
      <c r="C39" s="7" t="inlineStr">
        <is>
          <t>V</t>
        </is>
      </c>
    </row>
    <row r="40">
      <c r="A40" t="inlineStr">
        <is>
          <t>Nabíjecí proud při špičce</t>
        </is>
      </c>
      <c r="B40" s="17">
        <f>$B$31*$B$32/$B$33</f>
        <v/>
      </c>
      <c r="C40" s="7" t="inlineStr">
        <is>
          <t>A</t>
        </is>
      </c>
    </row>
    <row r="41">
      <c r="A41" t="inlineStr">
        <is>
          <t>Regulátor (≥ 1,25 × I)</t>
        </is>
      </c>
      <c r="B41" s="15">
        <f>IFERROR(INDEX({10,15,20,30,40,50,60,70,80,100,120},MATCH(TRUE,INDEX({10,15,20,30,40,50,60,70,80,100,120}&gt;=$B$40*1.25,0),0)),"&gt; 120")</f>
        <v/>
      </c>
      <c r="C41" s="7" t="inlineStr">
        <is>
          <t>A</t>
        </is>
      </c>
    </row>
    <row r="42">
      <c r="A42" t="inlineStr">
        <is>
          <t>Denní výnos (odhad, ztráty 25 %)</t>
        </is>
      </c>
      <c r="B42" s="20">
        <f>$B$31*$B$34*0.75</f>
        <v/>
      </c>
      <c r="C42" s="7" t="inlineStr">
        <is>
          <t>Wh</t>
        </is>
      </c>
    </row>
    <row r="43">
      <c r="A43" t="inlineStr">
        <is>
          <t>Denní výnos v Ah</t>
        </is>
      </c>
      <c r="B43" s="15">
        <f>$B$42/$B$30</f>
        <v/>
      </c>
      <c r="C43" s="7" t="inlineStr">
        <is>
          <t>Ah</t>
        </is>
      </c>
    </row>
    <row r="44">
      <c r="A44" t="inlineStr">
        <is>
          <t>Voc za mrazu v sérii</t>
        </is>
      </c>
      <c r="B44" s="10">
        <f>$B$35*(1+$B$37/100*($B$38-25))*$B$36</f>
        <v/>
      </c>
      <c r="C44" s="7" t="inlineStr">
        <is>
          <t>V</t>
        </is>
      </c>
    </row>
    <row r="45">
      <c r="A45" t="inlineStr">
        <is>
          <t>Limit regulátoru</t>
        </is>
      </c>
      <c r="B45" s="14">
        <f>IF($B$44&lt;=$B$39,"OK","CHYBA – překračuje limit")</f>
        <v/>
      </c>
      <c r="C45" s="7" t="inlineStr"/>
    </row>
    <row r="46">
      <c r="A46" t="inlineStr">
        <is>
          <t>Voc ≥ napětí baterie + rezerva</t>
        </is>
      </c>
      <c r="B46" s="14">
        <f>IF($B$35*$B$36&gt;=$B$33+2,"OK","POZOR – málo panelů v sérii")</f>
        <v/>
      </c>
      <c r="C46" s="7" t="inlineStr"/>
    </row>
  </sheetData>
  <conditionalFormatting sqref="B45">
    <cfRule type="expression" priority="1" dxfId="0">
      <formula>ISNUMBER(SEARCH("OK",B45))</formula>
    </cfRule>
    <cfRule type="expression" priority="2" dxfId="1">
      <formula>ISNUMBER(SEARCH("CHYBA",B45))</formula>
    </cfRule>
    <cfRule type="expression" priority="3" dxfId="2">
      <formula>ISNUMBER(SEARCH("POZOR",B45))</formula>
    </cfRule>
  </conditionalFormatting>
  <conditionalFormatting sqref="B46">
    <cfRule type="expression" priority="4" dxfId="0">
      <formula>ISNUMBER(SEARCH("OK",B46))</formula>
    </cfRule>
    <cfRule type="expression" priority="5" dxfId="1">
      <formula>ISNUMBER(SEARCH("CHYBA",B46))</formula>
    </cfRule>
    <cfRule type="expression" priority="6" dxfId="2">
      <formula>ISNUMBER(SEARCH("POZOR",B46))</formula>
    </cfRule>
  </conditionalFormatting>
  <dataValidations count="2">
    <dataValidation sqref="B16" showDropDown="0" showInputMessage="0" showErrorMessage="0" allowBlank="0" type="list">
      <formula1>"12,24,48"</formula1>
    </dataValidation>
    <dataValidation sqref="B30" showDropDown="0" showInputMessage="0" showErrorMessage="0" allowBlank="0" type="list">
      <formula1>"12,24,48"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8" customWidth="1" min="4" max="4"/>
    <col width="16" customWidth="1" min="5" max="5"/>
    <col width="16" customWidth="1" min="6" max="6"/>
  </cols>
  <sheetData>
    <row r="1">
      <c r="A1" s="1" t="inlineStr">
        <is>
          <t>Energetická bilance</t>
        </is>
      </c>
    </row>
    <row r="2">
      <c r="A2" s="2" t="inlineStr">
        <is>
          <t>Spotřebič × počet × hodiny za den</t>
        </is>
      </c>
    </row>
    <row r="4">
      <c r="A4" s="5" t="inlineStr">
        <is>
          <t>Spotřebič</t>
        </is>
      </c>
      <c r="B4" s="5" t="inlineStr">
        <is>
          <t>W</t>
        </is>
      </c>
      <c r="C4" s="5" t="inlineStr">
        <is>
          <t>h/den</t>
        </is>
      </c>
      <c r="D4" s="5" t="inlineStr">
        <is>
          <t>ks</t>
        </is>
      </c>
      <c r="E4" s="5" t="inlineStr">
        <is>
          <t>Wh/den</t>
        </is>
      </c>
      <c r="F4" s="5" t="inlineStr">
        <is>
          <t>W (zapnuto)</t>
        </is>
      </c>
    </row>
    <row r="5">
      <c r="A5" s="23" t="inlineStr">
        <is>
          <t>LED osvětlení</t>
        </is>
      </c>
      <c r="B5" s="23" t="n">
        <v>24</v>
      </c>
      <c r="C5" s="23" t="n">
        <v>5</v>
      </c>
      <c r="D5" s="23" t="n">
        <v>1</v>
      </c>
      <c r="E5" s="8">
        <f>IF(B5="","",B5*C5*D5)</f>
        <v/>
      </c>
      <c r="F5" s="8">
        <f>IF(B5="","",B5*D5)</f>
        <v/>
      </c>
    </row>
    <row r="6">
      <c r="A6" s="23" t="inlineStr">
        <is>
          <t>Kompresorová chladnička</t>
        </is>
      </c>
      <c r="B6" s="23" t="n">
        <v>45</v>
      </c>
      <c r="C6" s="23" t="n">
        <v>8</v>
      </c>
      <c r="D6" s="23" t="n">
        <v>1</v>
      </c>
      <c r="E6" s="8">
        <f>IF(B6="","",B6*C6*D6)</f>
        <v/>
      </c>
      <c r="F6" s="8">
        <f>IF(B6="","",B6*D6)</f>
        <v/>
      </c>
    </row>
    <row r="7">
      <c r="A7" s="23" t="inlineStr">
        <is>
          <t>Vodní čerpadlo</t>
        </is>
      </c>
      <c r="B7" s="23" t="n">
        <v>60</v>
      </c>
      <c r="C7" s="23" t="n">
        <v>0.3</v>
      </c>
      <c r="D7" s="23" t="n">
        <v>1</v>
      </c>
      <c r="E7" s="8">
        <f>IF(B7="","",B7*C7*D7)</f>
        <v/>
      </c>
      <c r="F7" s="8">
        <f>IF(B7="","",B7*D7)</f>
        <v/>
      </c>
    </row>
    <row r="8">
      <c r="A8" s="23" t="inlineStr">
        <is>
          <t>Notebook + telefony</t>
        </is>
      </c>
      <c r="B8" s="23" t="n">
        <v>60</v>
      </c>
      <c r="C8" s="23" t="n">
        <v>4</v>
      </c>
      <c r="D8" s="23" t="n">
        <v>1</v>
      </c>
      <c r="E8" s="8">
        <f>IF(B8="","",B8*C8*D8)</f>
        <v/>
      </c>
      <c r="F8" s="8">
        <f>IF(B8="","",B8*D8)</f>
        <v/>
      </c>
    </row>
    <row r="9">
      <c r="A9" s="23" t="inlineStr">
        <is>
          <t>Ventilátor</t>
        </is>
      </c>
      <c r="B9" s="23" t="n">
        <v>20</v>
      </c>
      <c r="C9" s="23" t="n">
        <v>4</v>
      </c>
      <c r="D9" s="23" t="n">
        <v>1</v>
      </c>
      <c r="E9" s="8">
        <f>IF(B9="","",B9*C9*D9)</f>
        <v/>
      </c>
      <c r="F9" s="8">
        <f>IF(B9="","",B9*D9)</f>
        <v/>
      </c>
    </row>
    <row r="10">
      <c r="A10" s="23" t="inlineStr"/>
      <c r="B10" s="23" t="n"/>
      <c r="C10" s="23" t="n"/>
      <c r="D10" s="23" t="n"/>
      <c r="E10" s="8">
        <f>IF(B10="","",B10*C10*D10)</f>
        <v/>
      </c>
      <c r="F10" s="8">
        <f>IF(B10="","",B10*D10)</f>
        <v/>
      </c>
    </row>
    <row r="11">
      <c r="A11" s="23" t="inlineStr"/>
      <c r="B11" s="23" t="n"/>
      <c r="C11" s="23" t="n"/>
      <c r="D11" s="23" t="n"/>
      <c r="E11" s="8">
        <f>IF(B11="","",B11*C11*D11)</f>
        <v/>
      </c>
      <c r="F11" s="8">
        <f>IF(B11="","",B11*D11)</f>
        <v/>
      </c>
    </row>
    <row r="12">
      <c r="A12" s="23" t="inlineStr"/>
      <c r="B12" s="23" t="n"/>
      <c r="C12" s="23" t="n"/>
      <c r="D12" s="23" t="n"/>
      <c r="E12" s="8">
        <f>IF(B12="","",B12*C12*D12)</f>
        <v/>
      </c>
      <c r="F12" s="8">
        <f>IF(B12="","",B12*D12)</f>
        <v/>
      </c>
    </row>
    <row r="13">
      <c r="A13" s="23" t="inlineStr"/>
      <c r="B13" s="23" t="n"/>
      <c r="C13" s="23" t="n"/>
      <c r="D13" s="23" t="n"/>
      <c r="E13" s="8">
        <f>IF(B13="","",B13*C13*D13)</f>
        <v/>
      </c>
      <c r="F13" s="8">
        <f>IF(B13="","",B13*D13)</f>
        <v/>
      </c>
    </row>
    <row r="14">
      <c r="A14" s="23" t="inlineStr"/>
      <c r="B14" s="23" t="n"/>
      <c r="C14" s="23" t="n"/>
      <c r="D14" s="23" t="n"/>
      <c r="E14" s="8">
        <f>IF(B14="","",B14*C14*D14)</f>
        <v/>
      </c>
      <c r="F14" s="8">
        <f>IF(B14="","",B14*D14)</f>
        <v/>
      </c>
    </row>
    <row r="15">
      <c r="A15" s="23" t="inlineStr"/>
      <c r="B15" s="23" t="n"/>
      <c r="C15" s="23" t="n"/>
      <c r="D15" s="23" t="n"/>
      <c r="E15" s="8">
        <f>IF(B15="","",B15*C15*D15)</f>
        <v/>
      </c>
      <c r="F15" s="8">
        <f>IF(B15="","",B15*D15)</f>
        <v/>
      </c>
    </row>
    <row r="16">
      <c r="A16" s="23" t="inlineStr"/>
      <c r="B16" s="23" t="n"/>
      <c r="C16" s="23" t="n"/>
      <c r="D16" s="23" t="n"/>
      <c r="E16" s="8">
        <f>IF(B16="","",B16*C16*D16)</f>
        <v/>
      </c>
      <c r="F16" s="8">
        <f>IF(B16="","",B16*D16)</f>
        <v/>
      </c>
    </row>
    <row r="18">
      <c r="A18" t="inlineStr">
        <is>
          <t>Napětí soustavy</t>
        </is>
      </c>
      <c r="B18" s="6" t="n">
        <v>12</v>
      </c>
      <c r="C18" s="7" t="inlineStr">
        <is>
          <t>V</t>
        </is>
      </c>
    </row>
    <row r="19">
      <c r="A19" t="inlineStr">
        <is>
          <t>Dní autonomie</t>
        </is>
      </c>
      <c r="B19" s="6" t="n">
        <v>2</v>
      </c>
      <c r="C19" s="7" t="inlineStr"/>
    </row>
    <row r="20">
      <c r="A20" t="inlineStr">
        <is>
          <t>Využitelná hloubka vybití (olovo 50, LiFePO₄ 80–90)</t>
        </is>
      </c>
      <c r="B20" s="6" t="n">
        <v>50</v>
      </c>
      <c r="C20" s="7" t="inlineStr">
        <is>
          <t>%</t>
        </is>
      </c>
    </row>
    <row r="21">
      <c r="A21" t="inlineStr">
        <is>
          <t>Účinnost (měnič, ztráty)</t>
        </is>
      </c>
      <c r="B21" s="6" t="n">
        <v>90</v>
      </c>
      <c r="C21" s="7" t="inlineStr">
        <is>
          <t>%</t>
        </is>
      </c>
    </row>
    <row r="22">
      <c r="A22" t="inlineStr">
        <is>
          <t>Plné sluneční hodiny / den</t>
        </is>
      </c>
      <c r="B22" s="6" t="n">
        <v>3.5</v>
      </c>
      <c r="C22" s="7" t="inlineStr">
        <is>
          <t>h</t>
        </is>
      </c>
    </row>
    <row r="23">
      <c r="A23" t="inlineStr">
        <is>
          <t>Spotřeba za den</t>
        </is>
      </c>
      <c r="B23" s="20">
        <f>SUM(E5:E16)</f>
        <v/>
      </c>
      <c r="C23" s="7" t="inlineStr">
        <is>
          <t>Wh</t>
        </is>
      </c>
    </row>
    <row r="24">
      <c r="A24" t="inlineStr">
        <is>
          <t>Spotřeba za den</t>
        </is>
      </c>
      <c r="B24" s="15">
        <f>$B$23/$B$18</f>
        <v/>
      </c>
      <c r="C24" s="7" t="inlineStr">
        <is>
          <t>Ah</t>
        </is>
      </c>
    </row>
    <row r="25">
      <c r="A25" t="inlineStr">
        <is>
          <t>Součet příkonů (vše zapnuto)</t>
        </is>
      </c>
      <c r="B25" s="15">
        <f>SUM(F5:F16)</f>
        <v/>
      </c>
      <c r="C25" s="7" t="inlineStr">
        <is>
          <t>W</t>
        </is>
      </c>
    </row>
    <row r="26">
      <c r="A26" t="inlineStr">
        <is>
          <t>Součet příkonů (vše zapnuto)</t>
        </is>
      </c>
      <c r="B26" s="10">
        <f>$B$25/$B$18</f>
        <v/>
      </c>
      <c r="C26" s="7" t="inlineStr">
        <is>
          <t>A</t>
        </is>
      </c>
    </row>
    <row r="27">
      <c r="A27" t="inlineStr">
        <is>
          <t>Kapacita baterie pro zadané dny</t>
        </is>
      </c>
      <c r="B27" s="21">
        <f>$B$23*$B$19/($B$18*$B$20/100*$B$21/100)</f>
        <v/>
      </c>
      <c r="C27" s="7" t="inlineStr">
        <is>
          <t>Ah</t>
        </is>
      </c>
    </row>
    <row r="28">
      <c r="A28" t="inlineStr">
        <is>
          <t>Kapacita baterie pro zadané dny</t>
        </is>
      </c>
      <c r="B28" s="12">
        <f>$B$23*$B$19/($B$20/100*$B$21/100)/1000</f>
        <v/>
      </c>
      <c r="C28" s="7" t="inlineStr">
        <is>
          <t>kWh</t>
        </is>
      </c>
    </row>
    <row r="29">
      <c r="A29" t="inlineStr">
        <is>
          <t>Solár pro pokrytí denní spotřeby</t>
        </is>
      </c>
      <c r="B29" s="21">
        <f>$B$23/($B$22*0.75*$B$21/100)</f>
        <v/>
      </c>
      <c r="C29" s="7" t="inlineStr">
        <is>
          <t>Wp</t>
        </is>
      </c>
    </row>
    <row r="30">
      <c r="A30" s="16" t="inlineStr">
        <is>
          <t>Počítej s rezervou 20–30 %. V zimě je výnos solárů několikrát nižší.</t>
        </is>
      </c>
    </row>
    <row r="32">
      <c r="A32" s="3" t="inlineStr">
        <is>
          <t>LED a předřadný rezistor</t>
        </is>
      </c>
      <c r="B32" s="4" t="n"/>
      <c r="C32" s="4" t="n"/>
    </row>
    <row r="33">
      <c r="A33" t="inlineStr">
        <is>
          <t>Napětí zdroje (max., při nabíjení)</t>
        </is>
      </c>
      <c r="B33" s="6" t="n">
        <v>14.4</v>
      </c>
      <c r="C33" s="7" t="inlineStr">
        <is>
          <t>V</t>
        </is>
      </c>
    </row>
    <row r="34">
      <c r="A34" t="inlineStr">
        <is>
          <t>Úbytek na 1 LED (Vf)</t>
        </is>
      </c>
      <c r="B34" s="6" t="n">
        <v>2</v>
      </c>
      <c r="C34" s="7" t="inlineStr">
        <is>
          <t>V</t>
        </is>
      </c>
    </row>
    <row r="35">
      <c r="A35" t="inlineStr">
        <is>
          <t>LED v sérii</t>
        </is>
      </c>
      <c r="B35" s="6" t="n">
        <v>3</v>
      </c>
      <c r="C35" s="7" t="inlineStr"/>
    </row>
    <row r="36">
      <c r="A36" t="inlineStr">
        <is>
          <t>Proud LED</t>
        </is>
      </c>
      <c r="B36" s="6" t="n">
        <v>20</v>
      </c>
      <c r="C36" s="7" t="inlineStr">
        <is>
          <t>mA</t>
        </is>
      </c>
    </row>
    <row r="37">
      <c r="A37" t="inlineStr">
        <is>
          <t>Přebytečné napětí</t>
        </is>
      </c>
      <c r="B37" s="12">
        <f>$B$33-$B$35*$B$34</f>
        <v/>
      </c>
      <c r="C37" s="7" t="inlineStr">
        <is>
          <t>V</t>
        </is>
      </c>
    </row>
    <row r="38">
      <c r="A38" t="inlineStr">
        <is>
          <t>Vypočtený rezistor</t>
        </is>
      </c>
      <c r="B38" s="22">
        <f>IF($B$37&gt;0.5,$B$37/($B$36/1000),"málo napětí")</f>
        <v/>
      </c>
      <c r="C38" s="7" t="inlineStr">
        <is>
          <t>Ω</t>
        </is>
      </c>
    </row>
    <row r="39">
      <c r="A39" t="inlineStr">
        <is>
          <t>Pomocné: dekáda</t>
        </is>
      </c>
      <c r="B39" s="10">
        <f>IF(ISNUMBER($B$38),10^INT(LOG10($B$38)),"")</f>
        <v/>
      </c>
      <c r="C39" s="7" t="inlineStr"/>
    </row>
    <row r="40">
      <c r="A40" t="inlineStr">
        <is>
          <t>Nejbližší vyšší z řady E24</t>
        </is>
      </c>
      <c r="B40" s="15">
        <f>IF(ISNUMBER($B$38),IFERROR($B$39*INDEX(Data!$I$3:$I$26,MATCH(TRUE,INDEX(Data!$I$3:$I$26*$B$39&gt;=$B$38-0.000000001,0),0)),$B$39*10),"")</f>
        <v/>
      </c>
      <c r="C40" s="7" t="inlineStr">
        <is>
          <t>Ω</t>
        </is>
      </c>
    </row>
    <row r="41">
      <c r="A41" t="inlineStr">
        <is>
          <t>Skutečný proud LED</t>
        </is>
      </c>
      <c r="B41" s="10">
        <f>IF(ISNUMBER($B$40),$B$37/$B$40*1000,"")</f>
        <v/>
      </c>
      <c r="C41" s="7" t="inlineStr">
        <is>
          <t>mA</t>
        </is>
      </c>
    </row>
    <row r="42">
      <c r="A42" t="inlineStr">
        <is>
          <t>Ztráta na rezistoru</t>
        </is>
      </c>
      <c r="B42" s="15">
        <f>IF(ISNUMBER($B$40),($B$41/1000)^2*$B$40*1000,"")</f>
        <v/>
      </c>
      <c r="C42" s="7" t="inlineStr">
        <is>
          <t>mW</t>
        </is>
      </c>
    </row>
    <row r="43">
      <c r="A43" s="16" t="inlineStr">
        <is>
          <t>Min. výkon rezistoru = 2 × ztráta. U 24/48 V zapoj více LED do série nebo použij proudový zdroj.</t>
        </is>
      </c>
    </row>
  </sheetData>
  <dataValidations count="1">
    <dataValidation sqref="B18" showDropDown="0" showInputMessage="0" showErrorMessage="0" allowBlank="0" type="list">
      <formula1>"12,24,48"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" customWidth="1" min="5" max="5"/>
    <col width="28" customWidth="1" min="6" max="6"/>
    <col width="24" customWidth="1" min="7" max="7"/>
  </cols>
  <sheetData>
    <row r="1">
      <c r="A1" s="1" t="inlineStr">
        <is>
          <t>Tabulky</t>
        </is>
      </c>
    </row>
    <row r="3">
      <c r="A3" s="24" t="inlineStr">
        <is>
          <t>Typická napětí podle soustavy (násobek pro 12/24/48 V)</t>
        </is>
      </c>
      <c r="F3" s="5" t="inlineStr">
        <is>
          <t>Barva pojistky (ISO 8820)</t>
        </is>
      </c>
      <c r="G3" s="5" t="inlineStr">
        <is>
          <t>A</t>
        </is>
      </c>
    </row>
    <row r="4">
      <c r="A4" s="5" t="inlineStr"/>
      <c r="B4" s="5" t="inlineStr">
        <is>
          <t>12 V</t>
        </is>
      </c>
      <c r="C4" s="5" t="inlineStr">
        <is>
          <t>24 V</t>
        </is>
      </c>
      <c r="D4" s="5" t="inlineStr">
        <is>
          <t>48 V</t>
        </is>
      </c>
      <c r="F4" s="8" t="inlineStr">
        <is>
          <t>černá</t>
        </is>
      </c>
      <c r="G4" s="8" t="n">
        <v>1</v>
      </c>
    </row>
    <row r="5">
      <c r="A5" s="8" t="inlineStr">
        <is>
          <t>Olovo: plně nabité v klidu</t>
        </is>
      </c>
      <c r="B5" s="19">
        <f>12.7*1</f>
        <v/>
      </c>
      <c r="C5" s="19">
        <f>12.7*2</f>
        <v/>
      </c>
      <c r="D5" s="19">
        <f>12.7*4</f>
        <v/>
      </c>
      <c r="F5" s="8" t="inlineStr">
        <is>
          <t>šedá</t>
        </is>
      </c>
      <c r="G5" s="8" t="n">
        <v>2</v>
      </c>
    </row>
    <row r="6">
      <c r="A6" s="8" t="inlineStr">
        <is>
          <t>Olovo: absorpce (typ. min)</t>
        </is>
      </c>
      <c r="B6" s="19">
        <f>14.4*1</f>
        <v/>
      </c>
      <c r="C6" s="19">
        <f>14.4*2</f>
        <v/>
      </c>
      <c r="D6" s="19">
        <f>14.4*4</f>
        <v/>
      </c>
      <c r="F6" s="8" t="inlineStr">
        <is>
          <t>fialová</t>
        </is>
      </c>
      <c r="G6" s="8" t="n">
        <v>3</v>
      </c>
    </row>
    <row r="7">
      <c r="A7" s="8" t="inlineStr">
        <is>
          <t>Olovo: absorpce (typ. max)</t>
        </is>
      </c>
      <c r="B7" s="19">
        <f>14.8*1</f>
        <v/>
      </c>
      <c r="C7" s="19">
        <f>14.8*2</f>
        <v/>
      </c>
      <c r="D7" s="19">
        <f>14.8*4</f>
        <v/>
      </c>
      <c r="F7" s="8" t="inlineStr">
        <is>
          <t>růžová</t>
        </is>
      </c>
      <c r="G7" s="8" t="n">
        <v>4</v>
      </c>
    </row>
    <row r="8">
      <c r="A8" s="8" t="inlineStr">
        <is>
          <t>Olovo: float (typ.)</t>
        </is>
      </c>
      <c r="B8" s="19">
        <f>13.6*1</f>
        <v/>
      </c>
      <c r="C8" s="19">
        <f>13.6*2</f>
        <v/>
      </c>
      <c r="D8" s="19">
        <f>13.6*4</f>
        <v/>
      </c>
      <c r="F8" s="8" t="inlineStr">
        <is>
          <t>béžová</t>
        </is>
      </c>
      <c r="G8" s="8" t="n">
        <v>5</v>
      </c>
    </row>
    <row r="9">
      <c r="A9" s="8" t="inlineStr">
        <is>
          <t>Olovo: odpojení zátěže</t>
        </is>
      </c>
      <c r="B9" s="19">
        <f>10.5*1</f>
        <v/>
      </c>
      <c r="C9" s="19">
        <f>10.5*2</f>
        <v/>
      </c>
      <c r="D9" s="19">
        <f>10.5*4</f>
        <v/>
      </c>
      <c r="F9" s="8" t="inlineStr">
        <is>
          <t>hnědá</t>
        </is>
      </c>
      <c r="G9" s="8" t="n">
        <v>7.5</v>
      </c>
    </row>
    <row r="10">
      <c r="A10" s="8" t="inlineStr">
        <is>
          <t>LiFePO₄: jmenovité (4S/8S/16S)</t>
        </is>
      </c>
      <c r="B10" s="19">
        <f>12.8*1</f>
        <v/>
      </c>
      <c r="C10" s="19">
        <f>12.8*2</f>
        <v/>
      </c>
      <c r="D10" s="19">
        <f>12.8*4</f>
        <v/>
      </c>
      <c r="F10" s="8" t="inlineStr">
        <is>
          <t>červená</t>
        </is>
      </c>
      <c r="G10" s="8" t="n">
        <v>10</v>
      </c>
    </row>
    <row r="11">
      <c r="A11" s="8" t="inlineStr">
        <is>
          <t>LiFePO₄: nabíjení (min)</t>
        </is>
      </c>
      <c r="B11" s="19">
        <f>14.2*1</f>
        <v/>
      </c>
      <c r="C11" s="19">
        <f>14.2*2</f>
        <v/>
      </c>
      <c r="D11" s="19">
        <f>14.2*4</f>
        <v/>
      </c>
      <c r="F11" s="8" t="inlineStr">
        <is>
          <t>světle modrá</t>
        </is>
      </c>
      <c r="G11" s="8" t="n">
        <v>15</v>
      </c>
    </row>
    <row r="12">
      <c r="A12" s="8" t="inlineStr">
        <is>
          <t>LiFePO₄: nabíjení (max)</t>
        </is>
      </c>
      <c r="B12" s="19">
        <f>14.6*1</f>
        <v/>
      </c>
      <c r="C12" s="19">
        <f>14.6*2</f>
        <v/>
      </c>
      <c r="D12" s="19">
        <f>14.6*4</f>
        <v/>
      </c>
      <c r="F12" s="8" t="inlineStr">
        <is>
          <t>žlutá</t>
        </is>
      </c>
      <c r="G12" s="8" t="n">
        <v>20</v>
      </c>
    </row>
    <row r="13">
      <c r="A13" s="8" t="inlineStr">
        <is>
          <t>LiFePO₄: odpojení (min)</t>
        </is>
      </c>
      <c r="B13" s="19">
        <f>10*1</f>
        <v/>
      </c>
      <c r="C13" s="19">
        <f>10*2</f>
        <v/>
      </c>
      <c r="D13" s="19">
        <f>10*4</f>
        <v/>
      </c>
      <c r="F13" s="8" t="inlineStr">
        <is>
          <t>bílá / čirá</t>
        </is>
      </c>
      <c r="G13" s="8" t="n">
        <v>25</v>
      </c>
    </row>
    <row r="14">
      <c r="A14" s="8" t="inlineStr">
        <is>
          <t>LiFePO₄: odpojení (max)</t>
        </is>
      </c>
      <c r="B14" s="19">
        <f>11*1</f>
        <v/>
      </c>
      <c r="C14" s="19">
        <f>11*2</f>
        <v/>
      </c>
      <c r="D14" s="19">
        <f>11*4</f>
        <v/>
      </c>
      <c r="F14" s="8" t="inlineStr">
        <is>
          <t>zelená</t>
        </is>
      </c>
      <c r="G14" s="8" t="n">
        <v>30</v>
      </c>
    </row>
    <row r="15">
      <c r="F15" s="8" t="inlineStr">
        <is>
          <t>oranžová</t>
        </is>
      </c>
      <c r="G15" s="8" t="n">
        <v>40</v>
      </c>
    </row>
    <row r="16">
      <c r="A16" s="24" t="inlineStr">
        <is>
          <t>Průřez → trvalý proud → max. pojistka</t>
        </is>
      </c>
    </row>
    <row r="17">
      <c r="A17" s="5" t="inlineStr">
        <is>
          <t>mm²</t>
        </is>
      </c>
      <c r="B17" s="5" t="inlineStr">
        <is>
          <t>I trvalý A</t>
        </is>
      </c>
      <c r="C17" s="5" t="inlineStr">
        <is>
          <t>max pojistka A</t>
        </is>
      </c>
      <c r="F17" s="24" t="inlineStr">
        <is>
          <t>Značení svorek (DIN 72552)</t>
        </is>
      </c>
    </row>
    <row r="18">
      <c r="A18" s="8">
        <f>Data!A3</f>
        <v/>
      </c>
      <c r="B18" s="8">
        <f>Data!B3</f>
        <v/>
      </c>
      <c r="C18" s="8">
        <f>IFERROR(LOOKUP(B18,Data!$D$3:$D$29),"–")</f>
        <v/>
      </c>
      <c r="F18" s="5" t="inlineStr">
        <is>
          <t>Svorka</t>
        </is>
      </c>
      <c r="G18" s="5" t="inlineStr">
        <is>
          <t>Význam</t>
        </is>
      </c>
    </row>
    <row r="19">
      <c r="A19" s="8">
        <f>Data!A4</f>
        <v/>
      </c>
      <c r="B19" s="8">
        <f>Data!B4</f>
        <v/>
      </c>
      <c r="C19" s="8">
        <f>IFERROR(LOOKUP(B19,Data!$D$3:$D$29),"–")</f>
        <v/>
      </c>
      <c r="F19" s="8" t="inlineStr">
        <is>
          <t>30</t>
        </is>
      </c>
      <c r="G19" s="8" t="inlineStr">
        <is>
          <t>trvalé + z baterie</t>
        </is>
      </c>
    </row>
    <row r="20">
      <c r="A20" s="8">
        <f>Data!A5</f>
        <v/>
      </c>
      <c r="B20" s="8">
        <f>Data!B5</f>
        <v/>
      </c>
      <c r="C20" s="8">
        <f>IFERROR(LOOKUP(B20,Data!$D$3:$D$29),"–")</f>
        <v/>
      </c>
      <c r="F20" s="8" t="inlineStr">
        <is>
          <t>31</t>
        </is>
      </c>
      <c r="G20" s="8" t="inlineStr">
        <is>
          <t>kostra (−)</t>
        </is>
      </c>
    </row>
    <row r="21">
      <c r="A21" s="8">
        <f>Data!A6</f>
        <v/>
      </c>
      <c r="B21" s="8">
        <f>Data!B6</f>
        <v/>
      </c>
      <c r="C21" s="8">
        <f>IFERROR(LOOKUP(B21,Data!$D$3:$D$29),"–")</f>
        <v/>
      </c>
      <c r="F21" s="8" t="inlineStr">
        <is>
          <t>15</t>
        </is>
      </c>
      <c r="G21" s="8" t="inlineStr">
        <is>
          <t>+ po zapalování</t>
        </is>
      </c>
    </row>
    <row r="22">
      <c r="A22" s="8">
        <f>Data!A7</f>
        <v/>
      </c>
      <c r="B22" s="8">
        <f>Data!B7</f>
        <v/>
      </c>
      <c r="C22" s="8">
        <f>IFERROR(LOOKUP(B22,Data!$D$3:$D$29),"–")</f>
        <v/>
      </c>
      <c r="F22" s="8" t="inlineStr">
        <is>
          <t>50</t>
        </is>
      </c>
      <c r="G22" s="8" t="inlineStr">
        <is>
          <t>startér</t>
        </is>
      </c>
    </row>
    <row r="23">
      <c r="A23" s="8">
        <f>Data!A8</f>
        <v/>
      </c>
      <c r="B23" s="8">
        <f>Data!B8</f>
        <v/>
      </c>
      <c r="C23" s="8">
        <f>IFERROR(LOOKUP(B23,Data!$D$3:$D$29),"–")</f>
        <v/>
      </c>
      <c r="F23" s="8" t="inlineStr">
        <is>
          <t>56 / 58</t>
        </is>
      </c>
      <c r="G23" s="8" t="inlineStr">
        <is>
          <t>hlavní / obrysová světla</t>
        </is>
      </c>
    </row>
    <row r="24">
      <c r="A24" s="8">
        <f>Data!A9</f>
        <v/>
      </c>
      <c r="B24" s="8">
        <f>Data!B9</f>
        <v/>
      </c>
      <c r="C24" s="8">
        <f>IFERROR(LOOKUP(B24,Data!$D$3:$D$29),"–")</f>
        <v/>
      </c>
      <c r="F24" s="8" t="inlineStr">
        <is>
          <t>49 / 49a</t>
        </is>
      </c>
      <c r="G24" s="8" t="inlineStr">
        <is>
          <t>vstup / výstup směrovek</t>
        </is>
      </c>
    </row>
    <row r="25">
      <c r="A25" s="8">
        <f>Data!A10</f>
        <v/>
      </c>
      <c r="B25" s="8">
        <f>Data!B10</f>
        <v/>
      </c>
      <c r="C25" s="8">
        <f>IFERROR(LOOKUP(B25,Data!$D$3:$D$29),"–")</f>
        <v/>
      </c>
      <c r="F25" s="8" t="inlineStr">
        <is>
          <t>61</t>
        </is>
      </c>
      <c r="G25" s="8" t="inlineStr">
        <is>
          <t>kontrolka nabíjení</t>
        </is>
      </c>
    </row>
    <row r="26">
      <c r="A26" s="8">
        <f>Data!A11</f>
        <v/>
      </c>
      <c r="B26" s="8">
        <f>Data!B11</f>
        <v/>
      </c>
      <c r="C26" s="8">
        <f>IFERROR(LOOKUP(B26,Data!$D$3:$D$29),"–")</f>
        <v/>
      </c>
      <c r="F26" s="8" t="inlineStr">
        <is>
          <t>85 / 86</t>
        </is>
      </c>
      <c r="G26" s="8" t="inlineStr">
        <is>
          <t>relé: cívka</t>
        </is>
      </c>
    </row>
    <row r="27">
      <c r="A27" s="8">
        <f>Data!A12</f>
        <v/>
      </c>
      <c r="B27" s="8">
        <f>Data!B12</f>
        <v/>
      </c>
      <c r="C27" s="8">
        <f>IFERROR(LOOKUP(B27,Data!$D$3:$D$29),"–")</f>
        <v/>
      </c>
      <c r="F27" s="8" t="inlineStr">
        <is>
          <t>30</t>
        </is>
      </c>
      <c r="G27" s="8" t="inlineStr">
        <is>
          <t>relé: společný</t>
        </is>
      </c>
    </row>
    <row r="28">
      <c r="A28" s="8">
        <f>Data!A13</f>
        <v/>
      </c>
      <c r="B28" s="8">
        <f>Data!B13</f>
        <v/>
      </c>
      <c r="C28" s="8">
        <f>IFERROR(LOOKUP(B28,Data!$D$3:$D$29),"–")</f>
        <v/>
      </c>
      <c r="F28" s="8" t="inlineStr">
        <is>
          <t>87 / 87a</t>
        </is>
      </c>
      <c r="G28" s="8" t="inlineStr">
        <is>
          <t>relé: NO / NC</t>
        </is>
      </c>
    </row>
    <row r="29">
      <c r="A29" s="8">
        <f>Data!A14</f>
        <v/>
      </c>
      <c r="B29" s="8">
        <f>Data!B14</f>
        <v/>
      </c>
      <c r="C29" s="8">
        <f>IFERROR(LOOKUP(B29,Data!$D$3:$D$29),"–")</f>
        <v/>
      </c>
    </row>
    <row r="30">
      <c r="A30" s="8">
        <f>Data!A15</f>
        <v/>
      </c>
      <c r="B30" s="8">
        <f>Data!B15</f>
        <v/>
      </c>
      <c r="C30" s="8">
        <f>IFERROR(LOOKUP(B30,Data!$D$3:$D$29),"–")</f>
        <v/>
      </c>
    </row>
    <row r="31">
      <c r="A31" s="8">
        <f>Data!A16</f>
        <v/>
      </c>
      <c r="B31" s="8">
        <f>Data!B16</f>
        <v/>
      </c>
      <c r="C31" s="8">
        <f>IFERROR(LOOKUP(B31,Data!$D$3:$D$29),"–")</f>
        <v/>
      </c>
    </row>
    <row r="34">
      <c r="A34" s="24" t="inlineStr">
        <is>
          <t>AWG → mm²</t>
        </is>
      </c>
    </row>
    <row r="35">
      <c r="A35" s="5" t="inlineStr">
        <is>
          <t>AWG</t>
        </is>
      </c>
      <c r="B35" s="5" t="inlineStr">
        <is>
          <t>Ø mm</t>
        </is>
      </c>
      <c r="C35" s="5" t="inlineStr">
        <is>
          <t>mm²</t>
        </is>
      </c>
    </row>
    <row r="36">
      <c r="A36" s="8" t="n">
        <v>24</v>
      </c>
      <c r="B36" s="25">
        <f>0.127*92^((36-24)/39)</f>
        <v/>
      </c>
      <c r="C36" s="25">
        <f>PI()/4*B36^2</f>
        <v/>
      </c>
    </row>
    <row r="37">
      <c r="A37" s="8" t="n">
        <v>22</v>
      </c>
      <c r="B37" s="25">
        <f>0.127*92^((36-22)/39)</f>
        <v/>
      </c>
      <c r="C37" s="25">
        <f>PI()/4*B37^2</f>
        <v/>
      </c>
    </row>
    <row r="38">
      <c r="A38" s="8" t="n">
        <v>20</v>
      </c>
      <c r="B38" s="25">
        <f>0.127*92^((36-20)/39)</f>
        <v/>
      </c>
      <c r="C38" s="25">
        <f>PI()/4*B38^2</f>
        <v/>
      </c>
    </row>
    <row r="39">
      <c r="A39" s="8" t="n">
        <v>18</v>
      </c>
      <c r="B39" s="25">
        <f>0.127*92^((36-18)/39)</f>
        <v/>
      </c>
      <c r="C39" s="25">
        <f>PI()/4*B39^2</f>
        <v/>
      </c>
    </row>
    <row r="40">
      <c r="A40" s="8" t="n">
        <v>16</v>
      </c>
      <c r="B40" s="25">
        <f>0.127*92^((36-16)/39)</f>
        <v/>
      </c>
      <c r="C40" s="25">
        <f>PI()/4*B40^2</f>
        <v/>
      </c>
    </row>
    <row r="41">
      <c r="A41" s="8" t="n">
        <v>14</v>
      </c>
      <c r="B41" s="25">
        <f>0.127*92^((36-14)/39)</f>
        <v/>
      </c>
      <c r="C41" s="25">
        <f>PI()/4*B41^2</f>
        <v/>
      </c>
    </row>
    <row r="42">
      <c r="A42" s="8" t="n">
        <v>12</v>
      </c>
      <c r="B42" s="25">
        <f>0.127*92^((36-12)/39)</f>
        <v/>
      </c>
      <c r="C42" s="25">
        <f>PI()/4*B42^2</f>
        <v/>
      </c>
    </row>
    <row r="43">
      <c r="A43" s="8" t="n">
        <v>10</v>
      </c>
      <c r="B43" s="25">
        <f>0.127*92^((36-10)/39)</f>
        <v/>
      </c>
      <c r="C43" s="25">
        <f>PI()/4*B43^2</f>
        <v/>
      </c>
    </row>
    <row r="44">
      <c r="A44" s="8" t="n">
        <v>8</v>
      </c>
      <c r="B44" s="25">
        <f>0.127*92^((36-8)/39)</f>
        <v/>
      </c>
      <c r="C44" s="25">
        <f>PI()/4*B44^2</f>
        <v/>
      </c>
    </row>
    <row r="45">
      <c r="A45" s="8" t="n">
        <v>6</v>
      </c>
      <c r="B45" s="25">
        <f>0.127*92^((36-6)/39)</f>
        <v/>
      </c>
      <c r="C45" s="25">
        <f>PI()/4*B45^2</f>
        <v/>
      </c>
    </row>
    <row r="46">
      <c r="A46" s="8" t="n">
        <v>4</v>
      </c>
      <c r="B46" s="25">
        <f>0.127*92^((36-4)/39)</f>
        <v/>
      </c>
      <c r="C46" s="25">
        <f>PI()/4*B46^2</f>
        <v/>
      </c>
    </row>
    <row r="47">
      <c r="A47" s="8" t="n">
        <v>2</v>
      </c>
      <c r="B47" s="25">
        <f>0.127*92^((36-2)/39)</f>
        <v/>
      </c>
      <c r="C47" s="25">
        <f>PI()/4*B47^2</f>
        <v/>
      </c>
    </row>
    <row r="48">
      <c r="A48" s="8" t="n">
        <v>1</v>
      </c>
      <c r="B48" s="25">
        <f>0.127*92^((36-1)/39)</f>
        <v/>
      </c>
      <c r="C48" s="25">
        <f>PI()/4*B48^2</f>
        <v/>
      </c>
    </row>
    <row r="49">
      <c r="A49" s="8" t="inlineStr">
        <is>
          <t>1/0</t>
        </is>
      </c>
      <c r="B49" s="25">
        <f>0.127*92^((36-0)/39)</f>
        <v/>
      </c>
      <c r="C49" s="25">
        <f>PI()/4*B49^2</f>
        <v/>
      </c>
    </row>
    <row r="50">
      <c r="A50" s="8" t="inlineStr">
        <is>
          <t>2/0</t>
        </is>
      </c>
      <c r="B50" s="25">
        <f>0.127*92^((36--1)/39)</f>
        <v/>
      </c>
      <c r="C50" s="25">
        <f>PI()/4*B50^2</f>
        <v/>
      </c>
    </row>
    <row r="51">
      <c r="A51" s="8" t="inlineStr">
        <is>
          <t>3/0</t>
        </is>
      </c>
      <c r="B51" s="25">
        <f>0.127*92^((36--2)/39)</f>
        <v/>
      </c>
      <c r="C51" s="25">
        <f>PI()/4*B51^2</f>
        <v/>
      </c>
    </row>
    <row r="52">
      <c r="A52" s="8" t="inlineStr">
        <is>
          <t>4/0</t>
        </is>
      </c>
      <c r="B52" s="25">
        <f>0.127*92^((36--3)/39)</f>
        <v/>
      </c>
      <c r="C52" s="25">
        <f>PI()/4*B52^2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8" customWidth="1" min="3" max="3"/>
  </cols>
  <sheetData>
    <row r="1">
      <c r="A1" s="1" t="inlineStr">
        <is>
          <t>Check nový okruh</t>
        </is>
      </c>
    </row>
    <row r="2">
      <c r="A2" s="2" t="inlineStr">
        <is>
          <t>Instalace nového spotřebiče / okruhu</t>
        </is>
      </c>
    </row>
    <row r="4">
      <c r="A4" s="24" t="inlineStr">
        <is>
          <t>Bod</t>
        </is>
      </c>
      <c r="B4" s="24" t="inlineStr">
        <is>
          <t>Splněno (x)</t>
        </is>
      </c>
      <c r="C4" s="24" t="inlineStr">
        <is>
          <t>Poznámka</t>
        </is>
      </c>
    </row>
    <row r="5">
      <c r="A5" s="26" t="inlineStr">
        <is>
          <t>Určen trvalý a špičkový proud spotřebiče</t>
        </is>
      </c>
      <c r="B5" s="27" t="n"/>
      <c r="C5" s="8" t="n"/>
    </row>
    <row r="6">
      <c r="A6" s="26" t="inlineStr">
        <is>
          <t>Pojistka nebo jistič co nejblíž ke zdroji (baterii), dimenzovaná na kabel</t>
        </is>
      </c>
      <c r="B6" s="27" t="n"/>
      <c r="C6" s="8" t="n"/>
    </row>
    <row r="7">
      <c r="A7" s="26" t="inlineStr">
        <is>
          <t>Průřez zkontrolován na úbytek napětí i na trvalý proud</t>
        </is>
      </c>
      <c r="B7" s="27" t="n"/>
      <c r="C7" s="8" t="n"/>
    </row>
    <row r="8">
      <c r="A8" s="26" t="inlineStr">
        <is>
          <t>Kabel odolný teplu a oděru, ochranný vlnovec, průchodky v plechu</t>
        </is>
      </c>
      <c r="B8" s="27" t="n"/>
      <c r="C8" s="8" t="n"/>
    </row>
    <row r="9">
      <c r="A9" s="26" t="inlineStr">
        <is>
          <t>Kvalitní lisované koncovky a spoje, správná velikost oka</t>
        </is>
      </c>
      <c r="B9" s="27" t="n"/>
      <c r="C9" s="8" t="n"/>
    </row>
    <row r="10">
      <c r="A10" s="26" t="inlineStr">
        <is>
          <t>Velké zátěže spínány přes relé / stykač</t>
        </is>
      </c>
      <c r="B10" s="27" t="n"/>
      <c r="C10" s="8" t="n"/>
    </row>
    <row r="11">
      <c r="A11" s="26" t="inlineStr">
        <is>
          <t>Kostrový spoj čistý, kov na kov, zajištěn proti uvolnění</t>
        </is>
      </c>
      <c r="B11" s="27" t="n"/>
      <c r="C11" s="8" t="n"/>
    </row>
    <row r="12">
      <c r="A12" s="26" t="inlineStr">
        <is>
          <t>Spoje utaženy předepsaným momentem, svorky zakryty proti zkratu</t>
        </is>
      </c>
      <c r="B12" s="27" t="n"/>
      <c r="C12" s="8" t="n"/>
    </row>
    <row r="13">
      <c r="A13" s="26" t="inlineStr">
        <is>
          <t>Změřen úbytek napětí na plus i mínus pod zátěží</t>
        </is>
      </c>
      <c r="B13" s="27" t="n"/>
      <c r="C13" s="8" t="n"/>
    </row>
    <row r="14">
      <c r="A14" s="26" t="inlineStr">
        <is>
          <t>Zákres do schématu, kabely označeny</t>
        </is>
      </c>
      <c r="B14" s="27" t="n"/>
      <c r="C14" s="8" t="n"/>
    </row>
    <row r="16">
      <c r="A16" s="24">
        <f>"Splněno "&amp;COUNTIF(B5:B14,"x")&amp;" z 10"</f>
        <v/>
      </c>
    </row>
  </sheetData>
  <conditionalFormatting sqref="A5:B14">
    <cfRule type="expression" priority="1" dxfId="0">
      <formula>$B5="x"</formula>
    </cfRule>
  </conditionalFormatting>
  <dataValidations count="1">
    <dataValidation sqref="B5 B6 B7 B8 B9 B10 B11 B12 B13 B14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8" customWidth="1" min="3" max="3"/>
  </cols>
  <sheetData>
    <row r="1">
      <c r="A1" s="1" t="inlineStr">
        <is>
          <t>Check diagnostika</t>
        </is>
      </c>
    </row>
    <row r="2">
      <c r="A2" s="2" t="inlineStr">
        <is>
          <t>Diagnostika baterie a nabíjení (12 V, u 24/48 V násobky)</t>
        </is>
      </c>
    </row>
    <row r="4">
      <c r="A4" s="24" t="inlineStr">
        <is>
          <t>Bod</t>
        </is>
      </c>
      <c r="B4" s="24" t="inlineStr">
        <is>
          <t>Splněno (x)</t>
        </is>
      </c>
      <c r="C4" s="24" t="inlineStr">
        <is>
          <t>Poznámka</t>
        </is>
      </c>
    </row>
    <row r="5">
      <c r="A5" s="26" t="inlineStr">
        <is>
          <t>Vizuálně: svorky, koroze, uchycení, oleje, zápach</t>
        </is>
      </c>
      <c r="B5" s="27" t="n"/>
      <c r="C5" s="8" t="n"/>
    </row>
    <row r="6">
      <c r="A6" s="26" t="inlineStr">
        <is>
          <t>Napětí v klidu (po ≥ 4 h): ≥ 12,4 V (24 V: 24,8 V)</t>
        </is>
      </c>
      <c r="B6" s="27" t="n"/>
      <c r="C6" s="8" t="n"/>
    </row>
    <row r="7">
      <c r="A7" s="26" t="inlineStr">
        <is>
          <t>Při startu napětí nesmí klesnout pod ≈ 9,6 V (24 V: 19,2 V)</t>
        </is>
      </c>
      <c r="B7" s="27" t="n"/>
      <c r="C7" s="8" t="n"/>
    </row>
    <row r="8">
      <c r="A8" s="26" t="inlineStr">
        <is>
          <t>Napětí při běžícím motoru: 13,8–14,8 V (24 V: 27,6–29,6 V)</t>
        </is>
      </c>
      <c r="B8" s="27" t="n"/>
      <c r="C8" s="8" t="n"/>
    </row>
    <row r="9">
      <c r="A9" s="26" t="inlineStr">
        <is>
          <t>Úbytek napětí na kladném kabelu při startu: &lt; 0,5 V</t>
        </is>
      </c>
      <c r="B9" s="27" t="n"/>
      <c r="C9" s="8" t="n"/>
    </row>
    <row r="10">
      <c r="A10" s="26" t="inlineStr">
        <is>
          <t>Úbytek napětí na kostře při startu: &lt; 0,3 V</t>
        </is>
      </c>
      <c r="B10" s="27" t="n"/>
      <c r="C10" s="8" t="n"/>
    </row>
    <row r="11">
      <c r="A11" s="26" t="inlineStr">
        <is>
          <t>Klidový odběr po uspání vozidla: typicky &lt; 50 mA (dle výrobce)</t>
        </is>
      </c>
      <c r="B11" s="27" t="n"/>
      <c r="C11" s="8" t="n"/>
    </row>
    <row r="12">
      <c r="A12" s="26" t="inlineStr">
        <is>
          <t>Zvlnění alternátoru (AC) při chodu: &lt; 0,5 V</t>
        </is>
      </c>
      <c r="B12" s="27" t="n"/>
      <c r="C12" s="8" t="n"/>
    </row>
    <row r="13">
      <c r="A13" s="26" t="inlineStr">
        <is>
          <t>Alternátor, řemen a pojistky nabíjecího okruhu OK</t>
        </is>
      </c>
      <c r="B13" s="27" t="n"/>
      <c r="C13" s="8" t="n"/>
    </row>
    <row r="15">
      <c r="A15" s="24">
        <f>"Splněno "&amp;COUNTIF(B5:B13,"x")&amp;" z 9"</f>
        <v/>
      </c>
    </row>
  </sheetData>
  <conditionalFormatting sqref="A5:B13">
    <cfRule type="expression" priority="1" dxfId="0">
      <formula>$B5="x"</formula>
    </cfRule>
  </conditionalFormatting>
  <dataValidations count="1">
    <dataValidation sqref="B5 B6 B7 B8 B9 B10 B11 B12 B13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8" customWidth="1" min="3" max="3"/>
  </cols>
  <sheetData>
    <row r="1">
      <c r="A1" s="1" t="inlineStr">
        <is>
          <t>Check ostrovní systém</t>
        </is>
      </c>
    </row>
    <row r="2">
      <c r="A2" s="2" t="inlineStr">
        <is>
          <t>Ostrovní systém 12/24/48 V (karavan, loď, dodávka)</t>
        </is>
      </c>
    </row>
    <row r="4">
      <c r="A4" s="24" t="inlineStr">
        <is>
          <t>Bod</t>
        </is>
      </c>
      <c r="B4" s="24" t="inlineStr">
        <is>
          <t>Splněno (x)</t>
        </is>
      </c>
      <c r="C4" s="24" t="inlineStr">
        <is>
          <t>Poznámka</t>
        </is>
      </c>
    </row>
    <row r="5">
      <c r="A5" s="26" t="inlineStr">
        <is>
          <t>Baterie s vhodným BMS / ochranami, ventilace u olova</t>
        </is>
      </c>
      <c r="B5" s="27" t="n"/>
      <c r="C5" s="8" t="n"/>
    </row>
    <row r="6">
      <c r="A6" s="26" t="inlineStr">
        <is>
          <t>Hlavní pojistka (MEGA / Class T) a hlavní vypínač u baterie</t>
        </is>
      </c>
      <c r="B6" s="27" t="n"/>
      <c r="C6" s="8" t="n"/>
    </row>
    <row r="7">
      <c r="A7" s="26" t="inlineStr">
        <is>
          <t>Pro 48 V: pojistky, vypínače a relé s jmenovitým DC napětím ≥ 58 V</t>
        </is>
      </c>
      <c r="B7" s="27" t="n"/>
      <c r="C7" s="8" t="n"/>
    </row>
    <row r="8">
      <c r="A8" s="26" t="inlineStr">
        <is>
          <t>Samostatná pojistka na každou větev paralelních baterií</t>
        </is>
      </c>
      <c r="B8" s="27" t="n"/>
      <c r="C8" s="8" t="n"/>
    </row>
    <row r="9">
      <c r="A9" s="26" t="inlineStr">
        <is>
          <t>Měření (shunt, BMS) zapojeno, nastavena kapacita a napětí</t>
        </is>
      </c>
      <c r="B9" s="27" t="n"/>
      <c r="C9" s="8" t="n"/>
    </row>
    <row r="10">
      <c r="A10" s="26" t="inlineStr">
        <is>
          <t>Solární regulátor nastaven na typ baterie, kontrola Voc za mrazu</t>
        </is>
      </c>
      <c r="B10" s="27" t="n"/>
      <c r="C10" s="8" t="n"/>
    </row>
    <row r="11">
      <c r="A11" s="26" t="inlineStr">
        <is>
          <t>Střídač: DC kabel krátký a dostatečný, pojistka u baterie</t>
        </is>
      </c>
      <c r="B11" s="27" t="n"/>
      <c r="C11" s="8" t="n"/>
    </row>
    <row r="12">
      <c r="A12" s="26" t="inlineStr">
        <is>
          <t>AC strana: RCD/jistič, ochrana a uzemnění dle typu aplikace</t>
        </is>
      </c>
      <c r="B12" s="27" t="n"/>
      <c r="C12" s="8" t="n"/>
    </row>
    <row r="13">
      <c r="A13" s="26" t="inlineStr">
        <is>
          <t>Společná kostra / záporná sběrnice, jedno místo spojení s kostrou</t>
        </is>
      </c>
      <c r="B13" s="27" t="n"/>
      <c r="C13" s="8" t="n"/>
    </row>
    <row r="14">
      <c r="A14" s="26" t="inlineStr">
        <is>
          <t>Polarita a štítky na všech vodičích, zkušební zapnutí po částech</t>
        </is>
      </c>
      <c r="B14" s="27" t="n"/>
      <c r="C14" s="8" t="n"/>
    </row>
    <row r="15">
      <c r="A15" s="26" t="inlineStr">
        <is>
          <t>Zátěžový test: výdrž, úbytky, teploty spojů</t>
        </is>
      </c>
      <c r="B15" s="27" t="n"/>
      <c r="C15" s="8" t="n"/>
    </row>
    <row r="17">
      <c r="A17" s="24">
        <f>"Splněno "&amp;COUNTIF(B5:B15,"x")&amp;" z 11"</f>
        <v/>
      </c>
    </row>
  </sheetData>
  <conditionalFormatting sqref="A5:B15">
    <cfRule type="expression" priority="1" dxfId="0">
      <formula>$B5="x"</formula>
    </cfRule>
  </conditionalFormatting>
  <dataValidations count="1">
    <dataValidation sqref="B5 B6 B7 B8 B9 B10 B11 B12 B13 B14 B15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8" customWidth="1" min="7" max="7"/>
    <col width="3" customWidth="1" min="8" max="8"/>
    <col width="10" customWidth="1" min="9" max="9"/>
  </cols>
  <sheetData>
    <row r="1">
      <c r="A1" s="1" t="inlineStr">
        <is>
          <t>Data</t>
        </is>
      </c>
    </row>
    <row r="2">
      <c r="A2" s="28" t="inlineStr">
        <is>
          <t>mm²</t>
        </is>
      </c>
      <c r="B2" s="5" t="inlineStr">
        <is>
          <t>I trvalý A</t>
        </is>
      </c>
      <c r="D2" s="5" t="inlineStr">
        <is>
          <t>Pojistky A</t>
        </is>
      </c>
      <c r="F2" s="5" t="inlineStr">
        <is>
          <t>SOC V (12 V)</t>
        </is>
      </c>
      <c r="G2" s="5" t="inlineStr">
        <is>
          <t>SOC %</t>
        </is>
      </c>
      <c r="I2" s="5" t="inlineStr">
        <is>
          <t>E24</t>
        </is>
      </c>
    </row>
    <row r="3">
      <c r="A3" s="8" t="n">
        <v>0.5</v>
      </c>
      <c r="B3" s="8" t="n">
        <v>5</v>
      </c>
      <c r="D3" s="8" t="n">
        <v>1</v>
      </c>
      <c r="F3" s="8" t="n">
        <v>11.8</v>
      </c>
      <c r="G3" s="8" t="n">
        <v>0</v>
      </c>
      <c r="I3" s="8" t="n">
        <v>1</v>
      </c>
    </row>
    <row r="4">
      <c r="A4" s="8" t="n">
        <v>0.75</v>
      </c>
      <c r="B4" s="8" t="n">
        <v>8</v>
      </c>
      <c r="D4" s="8" t="n">
        <v>2</v>
      </c>
      <c r="F4" s="8" t="n">
        <v>12</v>
      </c>
      <c r="G4" s="8" t="n">
        <v>25</v>
      </c>
      <c r="I4" s="8" t="n">
        <v>1.1</v>
      </c>
    </row>
    <row r="5">
      <c r="A5" s="8" t="n">
        <v>1</v>
      </c>
      <c r="B5" s="8" t="n">
        <v>10</v>
      </c>
      <c r="D5" s="8" t="n">
        <v>3</v>
      </c>
      <c r="F5" s="8" t="n">
        <v>12.2</v>
      </c>
      <c r="G5" s="8" t="n">
        <v>50</v>
      </c>
      <c r="I5" s="8" t="n">
        <v>1.2</v>
      </c>
    </row>
    <row r="6">
      <c r="A6" s="8" t="n">
        <v>1.5</v>
      </c>
      <c r="B6" s="8" t="n">
        <v>14</v>
      </c>
      <c r="D6" s="8" t="n">
        <v>4</v>
      </c>
      <c r="F6" s="8" t="n">
        <v>12.5</v>
      </c>
      <c r="G6" s="8" t="n">
        <v>75</v>
      </c>
      <c r="I6" s="8" t="n">
        <v>1.3</v>
      </c>
    </row>
    <row r="7">
      <c r="A7" s="8" t="n">
        <v>2.5</v>
      </c>
      <c r="B7" s="8" t="n">
        <v>20</v>
      </c>
      <c r="D7" s="8" t="n">
        <v>5</v>
      </c>
      <c r="F7" s="8" t="n">
        <v>12.7</v>
      </c>
      <c r="G7" s="8" t="n">
        <v>100</v>
      </c>
      <c r="I7" s="8" t="n">
        <v>1.5</v>
      </c>
    </row>
    <row r="8">
      <c r="A8" s="8" t="n">
        <v>4</v>
      </c>
      <c r="B8" s="8" t="n">
        <v>28</v>
      </c>
      <c r="D8" s="8" t="n">
        <v>7.5</v>
      </c>
      <c r="I8" s="8" t="n">
        <v>1.6</v>
      </c>
    </row>
    <row r="9">
      <c r="A9" s="8" t="n">
        <v>6</v>
      </c>
      <c r="B9" s="8" t="n">
        <v>36</v>
      </c>
      <c r="D9" s="8" t="n">
        <v>10</v>
      </c>
      <c r="I9" s="8" t="n">
        <v>1.8</v>
      </c>
    </row>
    <row r="10">
      <c r="A10" s="8" t="n">
        <v>10</v>
      </c>
      <c r="B10" s="8" t="n">
        <v>50</v>
      </c>
      <c r="D10" s="8" t="n">
        <v>15</v>
      </c>
      <c r="I10" s="8" t="n">
        <v>2</v>
      </c>
    </row>
    <row r="11">
      <c r="A11" s="8" t="n">
        <v>16</v>
      </c>
      <c r="B11" s="8" t="n">
        <v>70</v>
      </c>
      <c r="D11" s="8" t="n">
        <v>20</v>
      </c>
      <c r="I11" s="8" t="n">
        <v>2.2</v>
      </c>
    </row>
    <row r="12">
      <c r="A12" s="8" t="n">
        <v>25</v>
      </c>
      <c r="B12" s="8" t="n">
        <v>95</v>
      </c>
      <c r="D12" s="8" t="n">
        <v>25</v>
      </c>
      <c r="I12" s="8" t="n">
        <v>2.4</v>
      </c>
    </row>
    <row r="13">
      <c r="A13" s="8" t="n">
        <v>35</v>
      </c>
      <c r="B13" s="8" t="n">
        <v>120</v>
      </c>
      <c r="D13" s="8" t="n">
        <v>30</v>
      </c>
      <c r="I13" s="8" t="n">
        <v>2.7</v>
      </c>
    </row>
    <row r="14">
      <c r="A14" s="8" t="n">
        <v>50</v>
      </c>
      <c r="B14" s="8" t="n">
        <v>150</v>
      </c>
      <c r="D14" s="8" t="n">
        <v>35</v>
      </c>
      <c r="I14" s="8" t="n">
        <v>3</v>
      </c>
    </row>
    <row r="15">
      <c r="A15" s="8" t="n">
        <v>70</v>
      </c>
      <c r="B15" s="8" t="n">
        <v>190</v>
      </c>
      <c r="D15" s="8" t="n">
        <v>40</v>
      </c>
      <c r="I15" s="8" t="n">
        <v>3.3</v>
      </c>
    </row>
    <row r="16">
      <c r="A16" s="8" t="n">
        <v>95</v>
      </c>
      <c r="B16" s="8" t="n">
        <v>230</v>
      </c>
      <c r="D16" s="8" t="n">
        <v>50</v>
      </c>
      <c r="I16" s="8" t="n">
        <v>3.6</v>
      </c>
    </row>
    <row r="17">
      <c r="D17" s="8" t="n">
        <v>60</v>
      </c>
      <c r="I17" s="8" t="n">
        <v>3.9</v>
      </c>
    </row>
    <row r="18">
      <c r="D18" s="8" t="n">
        <v>70</v>
      </c>
      <c r="I18" s="8" t="n">
        <v>4.3</v>
      </c>
    </row>
    <row r="19">
      <c r="D19" s="8" t="n">
        <v>80</v>
      </c>
      <c r="I19" s="8" t="n">
        <v>4.7</v>
      </c>
    </row>
    <row r="20">
      <c r="D20" s="8" t="n">
        <v>100</v>
      </c>
      <c r="I20" s="8" t="n">
        <v>5.1</v>
      </c>
    </row>
    <row r="21">
      <c r="D21" s="8" t="n">
        <v>125</v>
      </c>
      <c r="I21" s="8" t="n">
        <v>5.6</v>
      </c>
    </row>
    <row r="22">
      <c r="D22" s="8" t="n">
        <v>150</v>
      </c>
      <c r="I22" s="8" t="n">
        <v>6.2</v>
      </c>
    </row>
    <row r="23">
      <c r="D23" s="8" t="n">
        <v>175</v>
      </c>
      <c r="I23" s="8" t="n">
        <v>6.8</v>
      </c>
    </row>
    <row r="24">
      <c r="D24" s="8" t="n">
        <v>200</v>
      </c>
      <c r="I24" s="8" t="n">
        <v>7.5</v>
      </c>
    </row>
    <row r="25">
      <c r="D25" s="8" t="n">
        <v>250</v>
      </c>
      <c r="I25" s="8" t="n">
        <v>8.199999999999999</v>
      </c>
    </row>
    <row r="26">
      <c r="D26" s="8" t="n">
        <v>300</v>
      </c>
      <c r="I26" s="8" t="n">
        <v>9.1</v>
      </c>
    </row>
    <row r="27">
      <c r="D27" s="8" t="n">
        <v>350</v>
      </c>
    </row>
    <row r="28">
      <c r="D28" s="8" t="n">
        <v>400</v>
      </c>
    </row>
    <row r="29">
      <c r="D29" s="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2026-10-14T22:30:50Z</dcterms:created>
  <dcterms:modified xmlns:dcterms="http://purl.org/dc/terms/" xmlns:xsi="http://www.w3.org/2001/XMLSchema-instance" xsi:type="dcterms:W3CDTF">2026-10-14T22:30:50Z</dcterms:modified>
</cp:coreProperties>
</file>