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ávod" sheetId="1" state="visible" r:id="rId1"/>
    <sheet xmlns:r="http://schemas.openxmlformats.org/officeDocument/2006/relationships" name="Úbytek napětí" sheetId="2" state="visible" r:id="rId2"/>
    <sheet xmlns:r="http://schemas.openxmlformats.org/officeDocument/2006/relationships" name="Zatížitelnost" sheetId="3" state="visible" r:id="rId3"/>
    <sheet xmlns:r="http://schemas.openxmlformats.org/officeDocument/2006/relationships" name="Smyčka" sheetId="4" state="visible" r:id="rId4"/>
    <sheet xmlns:r="http://schemas.openxmlformats.org/officeDocument/2006/relationships" name="Výkon a kompenzace" sheetId="5" state="visible" r:id="rId5"/>
    <sheet xmlns:r="http://schemas.openxmlformats.org/officeDocument/2006/relationships" name="Bilance příkonu" sheetId="6" state="visible" r:id="rId6"/>
    <sheet xmlns:r="http://schemas.openxmlformats.org/officeDocument/2006/relationships" name="FVE string" sheetId="7" state="visible" r:id="rId7"/>
    <sheet xmlns:r="http://schemas.openxmlformats.org/officeDocument/2006/relationships" name="FVE kabel a jištění" sheetId="8" state="visible" r:id="rId8"/>
    <sheet xmlns:r="http://schemas.openxmlformats.org/officeDocument/2006/relationships" name="FVE výnos" sheetId="9" state="visible" r:id="rId9"/>
    <sheet xmlns:r="http://schemas.openxmlformats.org/officeDocument/2006/relationships" name="FVE baterie a řady" sheetId="10" state="visible" r:id="rId10"/>
    <sheet xmlns:r="http://schemas.openxmlformats.org/officeDocument/2006/relationships" name="MaR škálování" sheetId="11" state="visible" r:id="rId11"/>
    <sheet xmlns:r="http://schemas.openxmlformats.org/officeDocument/2006/relationships" name="MaR čidla" sheetId="12" state="visible" r:id="rId12"/>
    <sheet xmlns:r="http://schemas.openxmlformats.org/officeDocument/2006/relationships" name="MaR regulace a hydraulika" sheetId="13" state="visible" r:id="rId13"/>
    <sheet xmlns:r="http://schemas.openxmlformats.org/officeDocument/2006/relationships" name="Tabulky" sheetId="14" state="visible" r:id="rId14"/>
    <sheet xmlns:r="http://schemas.openxmlformats.org/officeDocument/2006/relationships" name="Check revize" sheetId="15" state="visible" r:id="rId15"/>
    <sheet xmlns:r="http://schemas.openxmlformats.org/officeDocument/2006/relationships" name="Check FVE" sheetId="16" state="visible" r:id="rId16"/>
    <sheet xmlns:r="http://schemas.openxmlformats.org/officeDocument/2006/relationships" name="Check MaR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"/>
    <numFmt numFmtId="165" formatCode="0.0"/>
    <numFmt numFmtId="166" formatCode="0.000"/>
  </numFmts>
  <fonts count="9">
    <font>
      <name val="Calibri"/>
      <family val="2"/>
      <color theme="1"/>
      <sz val="11"/>
      <scheme val="minor"/>
    </font>
    <font>
      <b val="1"/>
      <color rgb="000B63D1"/>
      <sz val="15"/>
    </font>
    <font>
      <i val="1"/>
      <color rgb="005B6877"/>
    </font>
    <font>
      <b val="1"/>
      <color rgb="00FFFFFF"/>
    </font>
    <font>
      <b val="1"/>
      <color rgb="000000FF"/>
    </font>
    <font>
      <color rgb="005B6877"/>
    </font>
    <font/>
    <font>
      <b val="1"/>
    </font>
    <font>
      <i val="1"/>
      <color rgb="005B6877"/>
      <sz val="9"/>
    </font>
  </fonts>
  <fills count="6">
    <fill>
      <patternFill/>
    </fill>
    <fill>
      <patternFill patternType="gray125"/>
    </fill>
    <fill>
      <patternFill patternType="solid">
        <fgColor rgb="000B63D1"/>
      </patternFill>
    </fill>
    <fill>
      <patternFill patternType="solid">
        <fgColor rgb="00FFF2CC"/>
      </patternFill>
    </fill>
    <fill>
      <patternFill patternType="solid">
        <fgColor rgb="00E8F0FC"/>
      </patternFill>
    </fill>
    <fill>
      <patternFill patternType="solid">
        <fgColor rgb="00D9E0E8"/>
      </patternFill>
    </fill>
  </fills>
  <borders count="2">
    <border>
      <left/>
      <right/>
      <top/>
      <bottom/>
      <diagonal/>
    </border>
    <border>
      <left style="thin">
        <color rgb="00B8C2CE"/>
      </left>
      <right style="thin">
        <color rgb="00B8C2CE"/>
      </right>
      <top style="thin">
        <color rgb="00B8C2CE"/>
      </top>
      <bottom style="thin">
        <color rgb="00B8C2CE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/>
    </xf>
    <xf numFmtId="0" fontId="3" fillId="2" borderId="0" pivotButton="0" quotePrefix="0" xfId="0"/>
    <xf numFmtId="0" fontId="0" fillId="2" borderId="0" pivotButton="0" quotePrefix="0" xfId="0"/>
    <xf numFmtId="0" fontId="7" fillId="5" borderId="1" pivotButton="0" quotePrefix="0" xfId="0"/>
    <xf numFmtId="0" fontId="4" fillId="3" borderId="1" pivotButton="0" quotePrefix="0" xfId="0"/>
    <xf numFmtId="0" fontId="5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" fontId="6" fillId="4" borderId="1" applyAlignment="1" pivotButton="0" quotePrefix="0" xfId="0">
      <alignment horizontal="right"/>
    </xf>
    <xf numFmtId="2" fontId="6" fillId="4" borderId="1" applyAlignment="1" pivotButton="0" quotePrefix="0" xfId="0">
      <alignment horizontal="right"/>
    </xf>
    <xf numFmtId="164" fontId="6" fillId="4" borderId="1" applyAlignment="1" pivotButton="0" quotePrefix="0" xfId="0">
      <alignment horizontal="right"/>
    </xf>
    <xf numFmtId="2" fontId="7" fillId="4" borderId="1" applyAlignment="1" pivotButton="0" quotePrefix="0" xfId="0">
      <alignment horizontal="right"/>
    </xf>
    <xf numFmtId="49" fontId="6" fillId="4" borderId="1" applyAlignment="1" pivotButton="0" quotePrefix="0" xfId="0">
      <alignment horizontal="right"/>
    </xf>
    <xf numFmtId="165" fontId="7" fillId="4" borderId="1" applyAlignment="1" pivotButton="0" quotePrefix="0" xfId="0">
      <alignment horizontal="right"/>
    </xf>
    <xf numFmtId="165" fontId="0" fillId="0" borderId="1" pivotButton="0" quotePrefix="0" xfId="0"/>
    <xf numFmtId="166" fontId="6" fillId="4" borderId="1" applyAlignment="1" pivotButton="0" quotePrefix="0" xfId="0">
      <alignment horizontal="right"/>
    </xf>
    <xf numFmtId="1" fontId="7" fillId="4" borderId="1" applyAlignment="1" pivotButton="0" quotePrefix="0" xfId="0">
      <alignment horizontal="right"/>
    </xf>
    <xf numFmtId="0" fontId="7" fillId="0" borderId="0" pivotButton="0" quotePrefix="0" xfId="0"/>
    <xf numFmtId="166" fontId="7" fillId="4" borderId="1" applyAlignment="1" pivotButton="0" quotePrefix="0" xfId="0">
      <alignment horizontal="right"/>
    </xf>
    <xf numFmtId="0" fontId="8" fillId="0" borderId="0" pivotButton="0" quotePrefix="0" xfId="0"/>
    <xf numFmtId="0" fontId="0" fillId="3" borderId="1" pivotButton="0" quotePrefix="0" xfId="0"/>
    <xf numFmtId="165" fontId="6" fillId="4" borderId="1" applyAlignment="1" pivotButton="0" quotePrefix="0" xfId="0">
      <alignment horizontal="right"/>
    </xf>
    <xf numFmtId="49" fontId="7" fillId="4" borderId="1" applyAlignment="1" pivotButton="0" quotePrefix="0" xfId="0">
      <alignment horizontal="right"/>
    </xf>
    <xf numFmtId="3" fontId="0" fillId="0" borderId="1" pivotButton="0" quotePrefix="0" xfId="0"/>
    <xf numFmtId="3" fontId="7" fillId="4" borderId="1" applyAlignment="1" pivotButton="0" quotePrefix="0" xfId="0">
      <alignment horizontal="right"/>
    </xf>
    <xf numFmtId="3" fontId="6" fillId="4" borderId="1" applyAlignment="1" pivotButton="0" quotePrefix="0" xfId="0">
      <alignment horizontal="right"/>
    </xf>
    <xf numFmtId="2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Návod</t>
        </is>
      </c>
    </row>
    <row r="3">
      <c r="A3" t="inlineStr">
        <is>
          <t>Žlutá buňka = vstup (měň), modrá buňka = výsledek (vzorec). Listy odpovídají záložkám webové pomůcky.</t>
        </is>
      </c>
    </row>
    <row r="4">
      <c r="A4" t="inlineStr"/>
    </row>
    <row r="5">
      <c r="A5" t="inlineStr">
        <is>
          <t>Elektroinstalace: Úbytek napětí | Zatížitelnost | Smyčka | Výkon a kompenzace | Bilance příkonu</t>
        </is>
      </c>
    </row>
    <row r="6">
      <c r="A6" t="inlineStr">
        <is>
          <t>FVE: FVE string | FVE kabel a jištění | FVE výnos | FVE baterie a řady</t>
        </is>
      </c>
    </row>
    <row r="7">
      <c r="A7" t="inlineStr">
        <is>
          <t>MaR: MaR škálování | MaR čidla | MaR regulace a hydraulika</t>
        </is>
      </c>
    </row>
    <row r="8">
      <c r="A8" t="inlineStr">
        <is>
          <t>Tabulky a Checklisty.</t>
        </is>
      </c>
    </row>
    <row r="9">
      <c r="A9" t="inlineStr"/>
    </row>
    <row r="10">
      <c r="A10" t="inlineStr">
        <is>
          <t>Výpočty jsou orientační. Rozhoduje projekt, platné normy a odpovědnost oprávněné osoby.</t>
        </is>
      </c>
    </row>
    <row r="11">
      <c r="A11" t="inlineStr">
        <is>
          <t>Tabulky zatížitelnosti: IEC 60364-5-52 / ČSN 33 2000-5-52 (Cu, 30 °C). Před použitím v projektu ověřte proti aktuálnímu vydání normy.</t>
        </is>
      </c>
    </row>
    <row r="12">
      <c r="A12" t="inlineStr">
        <is>
          <t>List Zatížitelnost obsahuje i pomocné tabulky (korekce, typizované In), na které se odkazují ostatní listy. Neodstraňujte je.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4" customWidth="1" min="3" max="3"/>
    <col width="3" customWidth="1" min="4" max="4"/>
    <col width="12" customWidth="1" min="5" max="5"/>
    <col width="14" customWidth="1" min="6" max="6"/>
    <col width="16" customWidth="1" min="7" max="7"/>
  </cols>
  <sheetData>
    <row r="1">
      <c r="A1" s="1" t="inlineStr">
        <is>
          <t>Úbytek napětí</t>
        </is>
      </c>
    </row>
    <row r="2">
      <c r="A2" s="2" t="inlineStr">
        <is>
          <t>ΔU = k·I·L·(R′cosφ + X′sinφ), X′ = 0,08 mΩ/m</t>
        </is>
      </c>
    </row>
    <row r="4">
      <c r="A4" s="3" t="inlineStr">
        <is>
          <t>Vstupy</t>
        </is>
      </c>
      <c r="B4" s="4" t="n"/>
      <c r="C4" s="4" t="n"/>
      <c r="E4" s="5" t="inlineStr">
        <is>
          <t>Průřez mm²</t>
        </is>
      </c>
      <c r="F4" s="5" t="inlineStr">
        <is>
          <t>ΔU %</t>
        </is>
      </c>
      <c r="G4" s="5" t="inlineStr">
        <is>
          <t>Stav</t>
        </is>
      </c>
    </row>
    <row r="5">
      <c r="A5" t="inlineStr">
        <is>
          <t>Soustava (1 = 1f 230 V, 3 = 3f 400 V)</t>
        </is>
      </c>
      <c r="B5" s="6" t="n">
        <v>3</v>
      </c>
      <c r="C5" s="7" t="inlineStr"/>
      <c r="E5" s="8" t="n">
        <v>1.5</v>
      </c>
      <c r="F5" s="9">
        <f>IF($B$5=1,2,SQRT(3))*$B$17*$B$9*($B$18/E5*$B$8+0.00008*SQRT(1-$B$8^2))/$B$16*100</f>
        <v/>
      </c>
      <c r="G5" s="8">
        <f>IF(F5&lt;=$B$13,"OK","CHYBA")</f>
        <v/>
      </c>
    </row>
    <row r="6">
      <c r="A6" t="inlineStr">
        <is>
          <t>Výkon</t>
        </is>
      </c>
      <c r="B6" s="6" t="n">
        <v>11</v>
      </c>
      <c r="C6" s="7" t="inlineStr">
        <is>
          <t>kW</t>
        </is>
      </c>
      <c r="E6" s="8" t="n">
        <v>2.5</v>
      </c>
      <c r="F6" s="9">
        <f>IF($B$5=1,2,SQRT(3))*$B$17*$B$9*($B$18/E6*$B$8+0.00008*SQRT(1-$B$8^2))/$B$16*100</f>
        <v/>
      </c>
      <c r="G6" s="8">
        <f>IF(F6&lt;=$B$13,"OK","CHYBA")</f>
        <v/>
      </c>
    </row>
    <row r="7">
      <c r="A7" t="inlineStr">
        <is>
          <t>Proud (volitelně, přepíše výkon)</t>
        </is>
      </c>
      <c r="B7" s="6" t="n"/>
      <c r="C7" s="7" t="inlineStr">
        <is>
          <t>A</t>
        </is>
      </c>
      <c r="E7" s="8" t="n">
        <v>4</v>
      </c>
      <c r="F7" s="9">
        <f>IF($B$5=1,2,SQRT(3))*$B$17*$B$9*($B$18/E7*$B$8+0.00008*SQRT(1-$B$8^2))/$B$16*100</f>
        <v/>
      </c>
      <c r="G7" s="8">
        <f>IF(F7&lt;=$B$13,"OK","CHYBA")</f>
        <v/>
      </c>
    </row>
    <row r="8">
      <c r="A8" t="inlineStr">
        <is>
          <t>cos φ</t>
        </is>
      </c>
      <c r="B8" s="6" t="n">
        <v>0.95</v>
      </c>
      <c r="C8" s="7" t="inlineStr"/>
      <c r="E8" s="8" t="n">
        <v>6</v>
      </c>
      <c r="F8" s="9">
        <f>IF($B$5=1,2,SQRT(3))*$B$17*$B$9*($B$18/E8*$B$8+0.00008*SQRT(1-$B$8^2))/$B$16*100</f>
        <v/>
      </c>
      <c r="G8" s="8">
        <f>IF(F8&lt;=$B$13,"OK","CHYBA")</f>
        <v/>
      </c>
    </row>
    <row r="9">
      <c r="A9" t="inlineStr">
        <is>
          <t>Délka vedení (jednosměrně)</t>
        </is>
      </c>
      <c r="B9" s="6" t="n">
        <v>40</v>
      </c>
      <c r="C9" s="7" t="inlineStr">
        <is>
          <t>m</t>
        </is>
      </c>
      <c r="E9" s="8" t="n">
        <v>10</v>
      </c>
      <c r="F9" s="9">
        <f>IF($B$5=1,2,SQRT(3))*$B$17*$B$9*($B$18/E9*$B$8+0.00008*SQRT(1-$B$8^2))/$B$16*100</f>
        <v/>
      </c>
      <c r="G9" s="8">
        <f>IF(F9&lt;=$B$13,"OK","CHYBA")</f>
        <v/>
      </c>
    </row>
    <row r="10">
      <c r="A10" t="inlineStr">
        <is>
          <t>Materiál</t>
        </is>
      </c>
      <c r="B10" s="6" t="inlineStr">
        <is>
          <t>Cu</t>
        </is>
      </c>
      <c r="C10" s="7" t="inlineStr"/>
      <c r="E10" s="8" t="n">
        <v>16</v>
      </c>
      <c r="F10" s="9">
        <f>IF($B$5=1,2,SQRT(3))*$B$17*$B$9*($B$18/E10*$B$8+0.00008*SQRT(1-$B$8^2))/$B$16*100</f>
        <v/>
      </c>
      <c r="G10" s="8">
        <f>IF(F10&lt;=$B$13,"OK","CHYBA")</f>
        <v/>
      </c>
    </row>
    <row r="11">
      <c r="A11" t="inlineStr">
        <is>
          <t>Teplota vodiče</t>
        </is>
      </c>
      <c r="B11" s="6" t="n">
        <v>70</v>
      </c>
      <c r="C11" s="7" t="inlineStr">
        <is>
          <t>°C</t>
        </is>
      </c>
      <c r="E11" s="8" t="n">
        <v>25</v>
      </c>
      <c r="F11" s="9">
        <f>IF($B$5=1,2,SQRT(3))*$B$17*$B$9*($B$18/E11*$B$8+0.00008*SQRT(1-$B$8^2))/$B$16*100</f>
        <v/>
      </c>
      <c r="G11" s="8">
        <f>IF(F11&lt;=$B$13,"OK","CHYBA")</f>
        <v/>
      </c>
    </row>
    <row r="12">
      <c r="A12" t="inlineStr">
        <is>
          <t>Průřez</t>
        </is>
      </c>
      <c r="B12" s="6" t="n">
        <v>6</v>
      </c>
      <c r="C12" s="7" t="inlineStr">
        <is>
          <t>mm²</t>
        </is>
      </c>
      <c r="E12" s="8" t="n">
        <v>35</v>
      </c>
      <c r="F12" s="9">
        <f>IF($B$5=1,2,SQRT(3))*$B$17*$B$9*($B$18/E12*$B$8+0.00008*SQRT(1-$B$8^2))/$B$16*100</f>
        <v/>
      </c>
      <c r="G12" s="8">
        <f>IF(F12&lt;=$B$13,"OK","CHYBA")</f>
        <v/>
      </c>
    </row>
    <row r="13">
      <c r="A13" t="inlineStr">
        <is>
          <t>Povolený úbytek</t>
        </is>
      </c>
      <c r="B13" s="6" t="n">
        <v>3</v>
      </c>
      <c r="C13" s="7" t="inlineStr">
        <is>
          <t>%</t>
        </is>
      </c>
      <c r="E13" s="8" t="n">
        <v>50</v>
      </c>
      <c r="F13" s="9">
        <f>IF($B$5=1,2,SQRT(3))*$B$17*$B$9*($B$18/E13*$B$8+0.00008*SQRT(1-$B$8^2))/$B$16*100</f>
        <v/>
      </c>
      <c r="G13" s="8">
        <f>IF(F13&lt;=$B$13,"OK","CHYBA")</f>
        <v/>
      </c>
    </row>
    <row r="14">
      <c r="E14" s="8" t="n">
        <v>70</v>
      </c>
      <c r="F14" s="9">
        <f>IF($B$5=1,2,SQRT(3))*$B$17*$B$9*($B$18/E14*$B$8+0.00008*SQRT(1-$B$8^2))/$B$16*100</f>
        <v/>
      </c>
      <c r="G14" s="8">
        <f>IF(F14&lt;=$B$13,"OK","CHYBA")</f>
        <v/>
      </c>
    </row>
    <row r="15">
      <c r="A15" s="3" t="inlineStr">
        <is>
          <t>Výsledky</t>
        </is>
      </c>
      <c r="B15" s="4" t="n"/>
      <c r="C15" s="4" t="n"/>
      <c r="E15" s="8" t="n">
        <v>95</v>
      </c>
      <c r="F15" s="9">
        <f>IF($B$5=1,2,SQRT(3))*$B$17*$B$9*($B$18/E15*$B$8+0.00008*SQRT(1-$B$8^2))/$B$16*100</f>
        <v/>
      </c>
      <c r="G15" s="8">
        <f>IF(F15&lt;=$B$13,"OK","CHYBA")</f>
        <v/>
      </c>
    </row>
    <row r="16">
      <c r="A16" t="inlineStr">
        <is>
          <t>Napětí</t>
        </is>
      </c>
      <c r="B16" s="10">
        <f>IF($B$5=1,230,400)</f>
        <v/>
      </c>
      <c r="C16" s="7" t="inlineStr">
        <is>
          <t>V</t>
        </is>
      </c>
      <c r="E16" s="8" t="n">
        <v>120</v>
      </c>
      <c r="F16" s="9">
        <f>IF($B$5=1,2,SQRT(3))*$B$17*$B$9*($B$18/E16*$B$8+0.00008*SQRT(1-$B$8^2))/$B$16*100</f>
        <v/>
      </c>
      <c r="G16" s="8">
        <f>IF(F16&lt;=$B$13,"OK","CHYBA")</f>
        <v/>
      </c>
    </row>
    <row r="17">
      <c r="A17" t="inlineStr">
        <is>
          <t>Proud</t>
        </is>
      </c>
      <c r="B17" s="11">
        <f>IF($B$7&lt;&gt;"",$B$7,$B$6*1000/(IF($B$5=1,1,SQRT(3))*$B$16*$B$8))</f>
        <v/>
      </c>
      <c r="C17" s="7" t="inlineStr">
        <is>
          <t>A</t>
        </is>
      </c>
      <c r="E17" s="8" t="n">
        <v>150</v>
      </c>
      <c r="F17" s="9">
        <f>IF($B$5=1,2,SQRT(3))*$B$17*$B$9*($B$18/E17*$B$8+0.00008*SQRT(1-$B$8^2))/$B$16*100</f>
        <v/>
      </c>
      <c r="G17" s="8">
        <f>IF(F17&lt;=$B$13,"OK","CHYBA")</f>
        <v/>
      </c>
    </row>
    <row r="18">
      <c r="A18" t="inlineStr">
        <is>
          <t>Rezistivita při provozní teplotě</t>
        </is>
      </c>
      <c r="B18" s="12">
        <f>IF($B$10="Cu",1/56,1/35)*(1+IF($B$10="Cu",0.00393,0.00403)*($B$11-20))</f>
        <v/>
      </c>
      <c r="C18" s="7" t="inlineStr">
        <is>
          <t>Ω·mm²/m</t>
        </is>
      </c>
      <c r="E18" s="8" t="n">
        <v>185</v>
      </c>
      <c r="F18" s="9">
        <f>IF($B$5=1,2,SQRT(3))*$B$17*$B$9*($B$18/E18*$B$8+0.00008*SQRT(1-$B$8^2))/$B$16*100</f>
        <v/>
      </c>
      <c r="G18" s="8">
        <f>IF(F18&lt;=$B$13,"OK","CHYBA")</f>
        <v/>
      </c>
    </row>
    <row r="19">
      <c r="A19" t="inlineStr">
        <is>
          <t>Úbytek napětí</t>
        </is>
      </c>
      <c r="B19" s="11">
        <f>IF($B$5=1,2,SQRT(3))*$B$17*$B$9*($B$18/$B$12*$B$8+0.00008*SQRT(1-$B$8^2))</f>
        <v/>
      </c>
      <c r="C19" s="7" t="inlineStr">
        <is>
          <t>V</t>
        </is>
      </c>
      <c r="E19" s="8" t="n">
        <v>240</v>
      </c>
      <c r="F19" s="9">
        <f>IF($B$5=1,2,SQRT(3))*$B$17*$B$9*($B$18/E19*$B$8+0.00008*SQRT(1-$B$8^2))/$B$16*100</f>
        <v/>
      </c>
      <c r="G19" s="8">
        <f>IF(F19&lt;=$B$13,"OK","CHYBA")</f>
        <v/>
      </c>
    </row>
    <row r="20">
      <c r="A20" t="inlineStr">
        <is>
          <t>Úbytek v %</t>
        </is>
      </c>
      <c r="B20" s="13">
        <f>$B$19/$B$16*100</f>
        <v/>
      </c>
      <c r="C20" s="7" t="inlineStr">
        <is>
          <t>%</t>
        </is>
      </c>
    </row>
    <row r="21">
      <c r="A21" t="inlineStr">
        <is>
          <t>Hodnocení</t>
        </is>
      </c>
      <c r="B21" s="14">
        <f>IF($B$20&lt;=$B$13,"OK – vyhovuje","CHYBA – překročeno")</f>
        <v/>
      </c>
      <c r="C21" s="7" t="inlineStr"/>
    </row>
    <row r="22">
      <c r="A22" t="inlineStr">
        <is>
          <t>Min. průřez pro daný limit</t>
        </is>
      </c>
      <c r="B22" s="15">
        <f>IFERROR(INDEX($E$5:$E$19,MATCH(TRUE,INDEX($F$5:$F$19&lt;=$B$13,0),0)),"&gt; 240 mm²")</f>
        <v/>
      </c>
      <c r="C22" s="7" t="inlineStr">
        <is>
          <t>mm²</t>
        </is>
      </c>
    </row>
    <row r="23">
      <c r="A23" t="inlineStr">
        <is>
          <t>Ztráty ve vedení</t>
        </is>
      </c>
      <c r="B23" s="10">
        <f>IF($B$5=1,2,3)*$B$17^2*$B$18/$B$12*$B$9</f>
        <v/>
      </c>
      <c r="C23" s="7" t="inlineStr">
        <is>
          <t>W</t>
        </is>
      </c>
    </row>
  </sheetData>
  <conditionalFormatting sqref="B21">
    <cfRule type="expression" priority="1" dxfId="0">
      <formula>ISNUMBER(SEARCH("OK",B21))</formula>
    </cfRule>
    <cfRule type="expression" priority="2" dxfId="1">
      <formula>ISNUMBER(SEARCH("CHYBA",B21))</formula>
    </cfRule>
    <cfRule type="expression" priority="3" dxfId="2">
      <formula>ISNUMBER(SEARCH("POZOR",B21))</formula>
    </cfRule>
  </conditionalFormatting>
  <conditionalFormatting sqref="G5:G19">
    <cfRule type="expression" priority="4" dxfId="0">
      <formula>ISNUMBER(SEARCH("OK",G5))</formula>
    </cfRule>
    <cfRule type="expression" priority="5" dxfId="1">
      <formula>ISNUMBER(SEARCH("CHYBA",G5))</formula>
    </cfRule>
    <cfRule type="expression" priority="6" dxfId="2">
      <formula>ISNUMBER(SEARCH("POZOR",G5))</formula>
    </cfRule>
  </conditionalFormatting>
  <dataValidations count="3">
    <dataValidation sqref="B5" showDropDown="0" showInputMessage="0" showErrorMessage="0" allowBlank="0" type="list">
      <formula1>"1,3"</formula1>
    </dataValidation>
    <dataValidation sqref="B10" showDropDown="0" showInputMessage="0" showErrorMessage="0" allowBlank="0" type="list">
      <formula1>"Cu,Al"</formula1>
    </dataValidation>
    <dataValidation sqref="B12" showDropDown="0" showInputMessage="0" showErrorMessage="0" allowBlank="0" type="list">
      <formula1>"1.5,2.5,4,6,10,16,25,35,50,70,95,120,150,185,240"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  <col width="3" customWidth="1" min="4" max="4"/>
    <col width="12" customWidth="1" min="5" max="5"/>
    <col width="14" customWidth="1" min="6" max="6"/>
    <col width="12" customWidth="1" min="7" max="7"/>
  </cols>
  <sheetData>
    <row r="1">
      <c r="A1" s="1" t="inlineStr">
        <is>
          <t>Zatížitelnost</t>
        </is>
      </c>
    </row>
    <row r="2">
      <c r="A2" s="2" t="inlineStr">
        <is>
          <t>Podmínka Ib ≤ In ≤ Iz. Cu, 2 resp. 3 zatížené vodiče, IEC 60364-5-52</t>
        </is>
      </c>
    </row>
    <row r="4">
      <c r="A4" s="3" t="inlineStr">
        <is>
          <t>Vstupy</t>
        </is>
      </c>
      <c r="B4" s="4" t="n"/>
      <c r="C4" s="4" t="n"/>
      <c r="E4" s="5" t="inlineStr">
        <is>
          <t>mm²</t>
        </is>
      </c>
      <c r="F4" s="5" t="inlineStr">
        <is>
          <t>Iz (A)</t>
        </is>
      </c>
      <c r="G4" s="5" t="inlineStr">
        <is>
          <t>max In (A)</t>
        </is>
      </c>
    </row>
    <row r="5">
      <c r="A5" t="inlineStr">
        <is>
          <t>Návrhový proud Ib</t>
        </is>
      </c>
      <c r="B5" s="6" t="n">
        <v>32</v>
      </c>
      <c r="C5" s="7" t="inlineStr">
        <is>
          <t>A</t>
        </is>
      </c>
      <c r="E5" s="8" t="n">
        <v>1.5</v>
      </c>
      <c r="F5" s="16">
        <f>IF(AND($B$9="Al",E5&lt;16),0,INDEX($C$30:$N$45,$B$18,MATCH(E5,$C$29:$N$29,0))*$B$16)</f>
        <v/>
      </c>
      <c r="G5" s="8">
        <f>IFERROR(LOOKUP(F5,$H$50:$H$69),"–")</f>
        <v/>
      </c>
    </row>
    <row r="6">
      <c r="A6" t="inlineStr">
        <is>
          <t>Izolace</t>
        </is>
      </c>
      <c r="B6" s="6" t="inlineStr">
        <is>
          <t>PVC</t>
        </is>
      </c>
      <c r="C6" s="7" t="inlineStr"/>
      <c r="E6" s="8" t="n">
        <v>2.5</v>
      </c>
      <c r="F6" s="16">
        <f>IF(AND($B$9="Al",E6&lt;16),0,INDEX($C$30:$N$45,$B$18,MATCH(E6,$C$29:$N$29,0))*$B$16)</f>
        <v/>
      </c>
      <c r="G6" s="8">
        <f>IFERROR(LOOKUP(F6,$H$50:$H$69),"–")</f>
        <v/>
      </c>
    </row>
    <row r="7">
      <c r="A7" t="inlineStr">
        <is>
          <t>Způsob uložení</t>
        </is>
      </c>
      <c r="B7" s="6" t="inlineStr">
        <is>
          <t>C</t>
        </is>
      </c>
      <c r="C7" s="7" t="inlineStr"/>
      <c r="E7" s="8" t="n">
        <v>4</v>
      </c>
      <c r="F7" s="16">
        <f>IF(AND($B$9="Al",E7&lt;16),0,INDEX($C$30:$N$45,$B$18,MATCH(E7,$C$29:$N$29,0))*$B$16)</f>
        <v/>
      </c>
      <c r="G7" s="8">
        <f>IFERROR(LOOKUP(F7,$H$50:$H$69),"–")</f>
        <v/>
      </c>
    </row>
    <row r="8">
      <c r="A8" t="inlineStr">
        <is>
          <t>Zatížené vodiče</t>
        </is>
      </c>
      <c r="B8" s="6" t="n">
        <v>3</v>
      </c>
      <c r="C8" s="7" t="inlineStr"/>
      <c r="E8" s="8" t="n">
        <v>6</v>
      </c>
      <c r="F8" s="16">
        <f>IF(AND($B$9="Al",E8&lt;16),0,INDEX($C$30:$N$45,$B$18,MATCH(E8,$C$29:$N$29,0))*$B$16)</f>
        <v/>
      </c>
      <c r="G8" s="8">
        <f>IFERROR(LOOKUP(F8,$H$50:$H$69),"–")</f>
        <v/>
      </c>
    </row>
    <row r="9">
      <c r="A9" t="inlineStr">
        <is>
          <t>Materiál</t>
        </is>
      </c>
      <c r="B9" s="6" t="inlineStr">
        <is>
          <t>Cu</t>
        </is>
      </c>
      <c r="C9" s="7" t="inlineStr"/>
      <c r="E9" s="8" t="n">
        <v>10</v>
      </c>
      <c r="F9" s="16">
        <f>IF(AND($B$9="Al",E9&lt;16),0,INDEX($C$30:$N$45,$B$18,MATCH(E9,$C$29:$N$29,0))*$B$16)</f>
        <v/>
      </c>
      <c r="G9" s="8">
        <f>IFERROR(LOOKUP(F9,$H$50:$H$69),"–")</f>
        <v/>
      </c>
    </row>
    <row r="10">
      <c r="A10" t="inlineStr">
        <is>
          <t>Teplota okolí</t>
        </is>
      </c>
      <c r="B10" s="6" t="n">
        <v>30</v>
      </c>
      <c r="C10" s="7" t="inlineStr">
        <is>
          <t>°C</t>
        </is>
      </c>
      <c r="E10" s="8" t="n">
        <v>16</v>
      </c>
      <c r="F10" s="16">
        <f>IF(AND($B$9="Al",E10&lt;16),0,INDEX($C$30:$N$45,$B$18,MATCH(E10,$C$29:$N$29,0))*$B$16)</f>
        <v/>
      </c>
      <c r="G10" s="8">
        <f>IFERROR(LOOKUP(F10,$H$50:$H$69),"–")</f>
        <v/>
      </c>
    </row>
    <row r="11">
      <c r="A11" t="inlineStr">
        <is>
          <t>Seskupené obvody</t>
        </is>
      </c>
      <c r="B11" s="6" t="n">
        <v>1</v>
      </c>
      <c r="C11" s="7" t="inlineStr"/>
      <c r="E11" s="8" t="n">
        <v>25</v>
      </c>
      <c r="F11" s="16">
        <f>IF(AND($B$9="Al",E11&lt;16),0,INDEX($C$30:$N$45,$B$18,MATCH(E11,$C$29:$N$29,0))*$B$16)</f>
        <v/>
      </c>
      <c r="G11" s="8">
        <f>IFERROR(LOOKUP(F11,$H$50:$H$69),"–")</f>
        <v/>
      </c>
    </row>
    <row r="12">
      <c r="E12" s="8" t="n">
        <v>35</v>
      </c>
      <c r="F12" s="16">
        <f>IF(AND($B$9="Al",E12&lt;16),0,INDEX($C$30:$N$45,$B$18,MATCH(E12,$C$29:$N$29,0))*$B$16)</f>
        <v/>
      </c>
      <c r="G12" s="8">
        <f>IFERROR(LOOKUP(F12,$H$50:$H$69),"–")</f>
        <v/>
      </c>
    </row>
    <row r="13">
      <c r="A13" s="3" t="inlineStr">
        <is>
          <t>Výsledky</t>
        </is>
      </c>
      <c r="B13" s="4" t="n"/>
      <c r="C13" s="4" t="n"/>
      <c r="E13" s="8" t="n">
        <v>50</v>
      </c>
      <c r="F13" s="16">
        <f>IF(AND($B$9="Al",E13&lt;16),0,INDEX($C$30:$N$45,$B$18,MATCH(E13,$C$29:$N$29,0))*$B$16)</f>
        <v/>
      </c>
      <c r="G13" s="8">
        <f>IFERROR(LOOKUP(F13,$H$50:$H$69),"–")</f>
        <v/>
      </c>
    </row>
    <row r="14">
      <c r="A14" t="inlineStr">
        <is>
          <t>Součinitel teploty</t>
        </is>
      </c>
      <c r="B14" s="11">
        <f>VLOOKUP($B$10,$A$50:$C$60,IF($B$6="PVC",2,3),FALSE)</f>
        <v/>
      </c>
      <c r="C14" s="7" t="inlineStr"/>
      <c r="E14" s="8" t="n">
        <v>70</v>
      </c>
      <c r="F14" s="16">
        <f>IF(AND($B$9="Al",E14&lt;16),0,INDEX($C$30:$N$45,$B$18,MATCH(E14,$C$29:$N$29,0))*$B$16)</f>
        <v/>
      </c>
      <c r="G14" s="8">
        <f>IFERROR(LOOKUP(F14,$H$50:$H$69),"–")</f>
        <v/>
      </c>
    </row>
    <row r="15">
      <c r="A15" t="inlineStr">
        <is>
          <t>Součinitel seskupení</t>
        </is>
      </c>
      <c r="B15" s="11">
        <f>VLOOKUP($B$11,$E$50:$F$61,2,FALSE)</f>
        <v/>
      </c>
      <c r="C15" s="7" t="inlineStr"/>
      <c r="E15" s="8" t="n">
        <v>95</v>
      </c>
      <c r="F15" s="16">
        <f>IF(AND($B$9="Al",E15&lt;16),0,INDEX($C$30:$N$45,$B$18,MATCH(E15,$C$29:$N$29,0))*$B$16)</f>
        <v/>
      </c>
      <c r="G15" s="8">
        <f>IFERROR(LOOKUP(F15,$H$50:$H$69),"–")</f>
        <v/>
      </c>
    </row>
    <row r="16">
      <c r="A16" t="inlineStr">
        <is>
          <t>Celkový součinitel (× 0,78 pro Al)</t>
        </is>
      </c>
      <c r="B16" s="17">
        <f>$B$14*$B$15*IF($B$9="Al",0.78,1)</f>
        <v/>
      </c>
      <c r="C16" s="7" t="inlineStr"/>
      <c r="E16" s="8" t="n">
        <v>120</v>
      </c>
      <c r="F16" s="16">
        <f>IF(AND($B$9="Al",E16&lt;16),0,INDEX($C$30:$N$45,$B$18,MATCH(E16,$C$29:$N$29,0))*$B$16)</f>
        <v/>
      </c>
      <c r="G16" s="8">
        <f>IFERROR(LOOKUP(F16,$H$50:$H$69),"–")</f>
        <v/>
      </c>
    </row>
    <row r="17">
      <c r="A17" t="inlineStr">
        <is>
          <t>Jistič In (nejbližší ≥ Ib)</t>
        </is>
      </c>
      <c r="B17" s="18">
        <f>IFERROR(INDEX($H$50:$H$69,MATCH(TRUE,INDEX($H$50:$H$69&gt;=$B$5,0),0)),"&gt; 630")</f>
        <v/>
      </c>
      <c r="C17" s="7" t="inlineStr">
        <is>
          <t>A</t>
        </is>
      </c>
    </row>
    <row r="18">
      <c r="A18" t="inlineStr">
        <is>
          <t>Pomocný index řádku dat</t>
        </is>
      </c>
      <c r="B18" s="10">
        <f>MATCH($B$6&amp;"|"&amp;$B$7&amp;"|"&amp;$B$8,$B$30:$B$45,0)</f>
        <v/>
      </c>
      <c r="C18" s="7" t="inlineStr"/>
    </row>
    <row r="19">
      <c r="A19" t="inlineStr">
        <is>
          <t>Min. průřez</t>
        </is>
      </c>
      <c r="B19" s="15">
        <f>IFERROR(INDEX($E$5:$E$16,MATCH(TRUE,INDEX($F$5:$F$16&gt;=$B$17,0),0)),"mimo tabulku")</f>
        <v/>
      </c>
      <c r="C19" s="7" t="inlineStr">
        <is>
          <t>mm²</t>
        </is>
      </c>
    </row>
    <row r="28">
      <c r="A28" s="19" t="inlineStr">
        <is>
          <t>Pomocná data: zatížitelnost při 30 °C [A], Cu</t>
        </is>
      </c>
    </row>
    <row r="29">
      <c r="B29" s="5" t="inlineStr">
        <is>
          <t>Klíč</t>
        </is>
      </c>
      <c r="C29" s="5" t="n">
        <v>1.5</v>
      </c>
      <c r="D29" s="5" t="n">
        <v>2.5</v>
      </c>
      <c r="E29" s="5" t="n">
        <v>4</v>
      </c>
      <c r="F29" s="5" t="n">
        <v>6</v>
      </c>
      <c r="G29" s="5" t="n">
        <v>10</v>
      </c>
      <c r="H29" s="5" t="n">
        <v>16</v>
      </c>
      <c r="I29" s="5" t="n">
        <v>25</v>
      </c>
      <c r="J29" s="5" t="n">
        <v>35</v>
      </c>
      <c r="K29" s="5" t="n">
        <v>50</v>
      </c>
      <c r="L29" s="5" t="n">
        <v>70</v>
      </c>
      <c r="M29" s="5" t="n">
        <v>95</v>
      </c>
      <c r="N29" s="5" t="n">
        <v>120</v>
      </c>
    </row>
    <row r="30">
      <c r="B30" s="8" t="inlineStr">
        <is>
          <t>PVC|A1|2</t>
        </is>
      </c>
      <c r="C30" s="8" t="n">
        <v>14.5</v>
      </c>
      <c r="D30" s="8" t="n">
        <v>19.5</v>
      </c>
      <c r="E30" s="8" t="n">
        <v>26</v>
      </c>
      <c r="F30" s="8" t="n">
        <v>34</v>
      </c>
      <c r="G30" s="8" t="n">
        <v>46</v>
      </c>
      <c r="H30" s="8" t="n">
        <v>61</v>
      </c>
      <c r="I30" s="8" t="n">
        <v>80</v>
      </c>
      <c r="J30" s="8" t="n">
        <v>99</v>
      </c>
      <c r="K30" s="8" t="n">
        <v>119</v>
      </c>
      <c r="L30" s="8" t="n">
        <v>151</v>
      </c>
      <c r="M30" s="8" t="n">
        <v>182</v>
      </c>
      <c r="N30" s="8" t="n">
        <v>210</v>
      </c>
    </row>
    <row r="31">
      <c r="B31" s="8" t="inlineStr">
        <is>
          <t>PVC|A1|3</t>
        </is>
      </c>
      <c r="C31" s="8" t="n">
        <v>13.5</v>
      </c>
      <c r="D31" s="8" t="n">
        <v>18</v>
      </c>
      <c r="E31" s="8" t="n">
        <v>24</v>
      </c>
      <c r="F31" s="8" t="n">
        <v>31</v>
      </c>
      <c r="G31" s="8" t="n">
        <v>42</v>
      </c>
      <c r="H31" s="8" t="n">
        <v>56</v>
      </c>
      <c r="I31" s="8" t="n">
        <v>73</v>
      </c>
      <c r="J31" s="8" t="n">
        <v>89</v>
      </c>
      <c r="K31" s="8" t="n">
        <v>108</v>
      </c>
      <c r="L31" s="8" t="n">
        <v>136</v>
      </c>
      <c r="M31" s="8" t="n">
        <v>164</v>
      </c>
      <c r="N31" s="8" t="n">
        <v>188</v>
      </c>
    </row>
    <row r="32">
      <c r="B32" s="8" t="inlineStr">
        <is>
          <t>PVC|B1|2</t>
        </is>
      </c>
      <c r="C32" s="8" t="n">
        <v>17.5</v>
      </c>
      <c r="D32" s="8" t="n">
        <v>24</v>
      </c>
      <c r="E32" s="8" t="n">
        <v>32</v>
      </c>
      <c r="F32" s="8" t="n">
        <v>41</v>
      </c>
      <c r="G32" s="8" t="n">
        <v>57</v>
      </c>
      <c r="H32" s="8" t="n">
        <v>76</v>
      </c>
      <c r="I32" s="8" t="n">
        <v>101</v>
      </c>
      <c r="J32" s="8" t="n">
        <v>125</v>
      </c>
      <c r="K32" s="8" t="n">
        <v>151</v>
      </c>
      <c r="L32" s="8" t="n">
        <v>192</v>
      </c>
      <c r="M32" s="8" t="n">
        <v>232</v>
      </c>
      <c r="N32" s="8" t="n">
        <v>269</v>
      </c>
    </row>
    <row r="33">
      <c r="B33" s="8" t="inlineStr">
        <is>
          <t>PVC|B1|3</t>
        </is>
      </c>
      <c r="C33" s="8" t="n">
        <v>15.5</v>
      </c>
      <c r="D33" s="8" t="n">
        <v>21</v>
      </c>
      <c r="E33" s="8" t="n">
        <v>28</v>
      </c>
      <c r="F33" s="8" t="n">
        <v>36</v>
      </c>
      <c r="G33" s="8" t="n">
        <v>50</v>
      </c>
      <c r="H33" s="8" t="n">
        <v>68</v>
      </c>
      <c r="I33" s="8" t="n">
        <v>89</v>
      </c>
      <c r="J33" s="8" t="n">
        <v>110</v>
      </c>
      <c r="K33" s="8" t="n">
        <v>134</v>
      </c>
      <c r="L33" s="8" t="n">
        <v>171</v>
      </c>
      <c r="M33" s="8" t="n">
        <v>207</v>
      </c>
      <c r="N33" s="8" t="n">
        <v>239</v>
      </c>
    </row>
    <row r="34">
      <c r="B34" s="8" t="inlineStr">
        <is>
          <t>PVC|B2|2</t>
        </is>
      </c>
      <c r="C34" s="8" t="n">
        <v>16.5</v>
      </c>
      <c r="D34" s="8" t="n">
        <v>23</v>
      </c>
      <c r="E34" s="8" t="n">
        <v>30</v>
      </c>
      <c r="F34" s="8" t="n">
        <v>38</v>
      </c>
      <c r="G34" s="8" t="n">
        <v>52</v>
      </c>
      <c r="H34" s="8" t="n">
        <v>69</v>
      </c>
      <c r="I34" s="8" t="n">
        <v>90</v>
      </c>
      <c r="J34" s="8" t="n">
        <v>111</v>
      </c>
      <c r="K34" s="8" t="n">
        <v>133</v>
      </c>
      <c r="L34" s="8" t="n">
        <v>168</v>
      </c>
      <c r="M34" s="8" t="n">
        <v>201</v>
      </c>
      <c r="N34" s="8" t="n">
        <v>232</v>
      </c>
    </row>
    <row r="35">
      <c r="B35" s="8" t="inlineStr">
        <is>
          <t>PVC|B2|3</t>
        </is>
      </c>
      <c r="C35" s="8" t="n">
        <v>15</v>
      </c>
      <c r="D35" s="8" t="n">
        <v>20</v>
      </c>
      <c r="E35" s="8" t="n">
        <v>27</v>
      </c>
      <c r="F35" s="8" t="n">
        <v>34</v>
      </c>
      <c r="G35" s="8" t="n">
        <v>46</v>
      </c>
      <c r="H35" s="8" t="n">
        <v>62</v>
      </c>
      <c r="I35" s="8" t="n">
        <v>80</v>
      </c>
      <c r="J35" s="8" t="n">
        <v>99</v>
      </c>
      <c r="K35" s="8" t="n">
        <v>118</v>
      </c>
      <c r="L35" s="8" t="n">
        <v>149</v>
      </c>
      <c r="M35" s="8" t="n">
        <v>179</v>
      </c>
      <c r="N35" s="8" t="n">
        <v>206</v>
      </c>
    </row>
    <row r="36">
      <c r="B36" s="8" t="inlineStr">
        <is>
          <t>PVC|C|2</t>
        </is>
      </c>
      <c r="C36" s="8" t="n">
        <v>19.5</v>
      </c>
      <c r="D36" s="8" t="n">
        <v>27</v>
      </c>
      <c r="E36" s="8" t="n">
        <v>36</v>
      </c>
      <c r="F36" s="8" t="n">
        <v>46</v>
      </c>
      <c r="G36" s="8" t="n">
        <v>63</v>
      </c>
      <c r="H36" s="8" t="n">
        <v>85</v>
      </c>
      <c r="I36" s="8" t="n">
        <v>112</v>
      </c>
      <c r="J36" s="8" t="n">
        <v>138</v>
      </c>
      <c r="K36" s="8" t="n">
        <v>168</v>
      </c>
      <c r="L36" s="8" t="n">
        <v>213</v>
      </c>
      <c r="M36" s="8" t="n">
        <v>258</v>
      </c>
      <c r="N36" s="8" t="n">
        <v>299</v>
      </c>
    </row>
    <row r="37">
      <c r="B37" s="8" t="inlineStr">
        <is>
          <t>PVC|C|3</t>
        </is>
      </c>
      <c r="C37" s="8" t="n">
        <v>17.5</v>
      </c>
      <c r="D37" s="8" t="n">
        <v>24</v>
      </c>
      <c r="E37" s="8" t="n">
        <v>32</v>
      </c>
      <c r="F37" s="8" t="n">
        <v>41</v>
      </c>
      <c r="G37" s="8" t="n">
        <v>57</v>
      </c>
      <c r="H37" s="8" t="n">
        <v>76</v>
      </c>
      <c r="I37" s="8" t="n">
        <v>96</v>
      </c>
      <c r="J37" s="8" t="n">
        <v>119</v>
      </c>
      <c r="K37" s="8" t="n">
        <v>144</v>
      </c>
      <c r="L37" s="8" t="n">
        <v>184</v>
      </c>
      <c r="M37" s="8" t="n">
        <v>223</v>
      </c>
      <c r="N37" s="8" t="n">
        <v>259</v>
      </c>
    </row>
    <row r="38">
      <c r="B38" s="8" t="inlineStr">
        <is>
          <t>XLPE|A1|2</t>
        </is>
      </c>
      <c r="C38" s="8" t="n">
        <v>19</v>
      </c>
      <c r="D38" s="8" t="n">
        <v>26</v>
      </c>
      <c r="E38" s="8" t="n">
        <v>35</v>
      </c>
      <c r="F38" s="8" t="n">
        <v>45</v>
      </c>
      <c r="G38" s="8" t="n">
        <v>61</v>
      </c>
      <c r="H38" s="8" t="n">
        <v>81</v>
      </c>
      <c r="I38" s="8" t="n">
        <v>106</v>
      </c>
      <c r="J38" s="8" t="n">
        <v>131</v>
      </c>
      <c r="K38" s="8" t="n">
        <v>158</v>
      </c>
      <c r="L38" s="8" t="n">
        <v>200</v>
      </c>
      <c r="M38" s="8" t="n">
        <v>241</v>
      </c>
      <c r="N38" s="8" t="n">
        <v>278</v>
      </c>
    </row>
    <row r="39">
      <c r="B39" s="8" t="inlineStr">
        <is>
          <t>XLPE|A1|3</t>
        </is>
      </c>
      <c r="C39" s="8" t="n">
        <v>17</v>
      </c>
      <c r="D39" s="8" t="n">
        <v>23</v>
      </c>
      <c r="E39" s="8" t="n">
        <v>31</v>
      </c>
      <c r="F39" s="8" t="n">
        <v>40</v>
      </c>
      <c r="G39" s="8" t="n">
        <v>54</v>
      </c>
      <c r="H39" s="8" t="n">
        <v>73</v>
      </c>
      <c r="I39" s="8" t="n">
        <v>95</v>
      </c>
      <c r="J39" s="8" t="n">
        <v>117</v>
      </c>
      <c r="K39" s="8" t="n">
        <v>141</v>
      </c>
      <c r="L39" s="8" t="n">
        <v>179</v>
      </c>
      <c r="M39" s="8" t="n">
        <v>216</v>
      </c>
      <c r="N39" s="8" t="n">
        <v>249</v>
      </c>
    </row>
    <row r="40">
      <c r="B40" s="8" t="inlineStr">
        <is>
          <t>XLPE|B1|2</t>
        </is>
      </c>
      <c r="C40" s="8" t="n">
        <v>23</v>
      </c>
      <c r="D40" s="8" t="n">
        <v>31</v>
      </c>
      <c r="E40" s="8" t="n">
        <v>42</v>
      </c>
      <c r="F40" s="8" t="n">
        <v>54</v>
      </c>
      <c r="G40" s="8" t="n">
        <v>75</v>
      </c>
      <c r="H40" s="8" t="n">
        <v>100</v>
      </c>
      <c r="I40" s="8" t="n">
        <v>133</v>
      </c>
      <c r="J40" s="8" t="n">
        <v>164</v>
      </c>
      <c r="K40" s="8" t="n">
        <v>198</v>
      </c>
      <c r="L40" s="8" t="n">
        <v>253</v>
      </c>
      <c r="M40" s="8" t="n">
        <v>306</v>
      </c>
      <c r="N40" s="8" t="n">
        <v>354</v>
      </c>
    </row>
    <row r="41">
      <c r="B41" s="8" t="inlineStr">
        <is>
          <t>XLPE|B1|3</t>
        </is>
      </c>
      <c r="C41" s="8" t="n">
        <v>20</v>
      </c>
      <c r="D41" s="8" t="n">
        <v>28</v>
      </c>
      <c r="E41" s="8" t="n">
        <v>37</v>
      </c>
      <c r="F41" s="8" t="n">
        <v>48</v>
      </c>
      <c r="G41" s="8" t="n">
        <v>66</v>
      </c>
      <c r="H41" s="8" t="n">
        <v>88</v>
      </c>
      <c r="I41" s="8" t="n">
        <v>117</v>
      </c>
      <c r="J41" s="8" t="n">
        <v>144</v>
      </c>
      <c r="K41" s="8" t="n">
        <v>175</v>
      </c>
      <c r="L41" s="8" t="n">
        <v>222</v>
      </c>
      <c r="M41" s="8" t="n">
        <v>269</v>
      </c>
      <c r="N41" s="8" t="n">
        <v>312</v>
      </c>
    </row>
    <row r="42">
      <c r="B42" s="8" t="inlineStr">
        <is>
          <t>XLPE|B2|2</t>
        </is>
      </c>
      <c r="C42" s="8" t="n">
        <v>22</v>
      </c>
      <c r="D42" s="8" t="n">
        <v>30</v>
      </c>
      <c r="E42" s="8" t="n">
        <v>40</v>
      </c>
      <c r="F42" s="8" t="n">
        <v>51</v>
      </c>
      <c r="G42" s="8" t="n">
        <v>69</v>
      </c>
      <c r="H42" s="8" t="n">
        <v>91</v>
      </c>
      <c r="I42" s="8" t="n">
        <v>119</v>
      </c>
      <c r="J42" s="8" t="n">
        <v>146</v>
      </c>
      <c r="K42" s="8" t="n">
        <v>175</v>
      </c>
      <c r="L42" s="8" t="n">
        <v>221</v>
      </c>
      <c r="M42" s="8" t="n">
        <v>265</v>
      </c>
      <c r="N42" s="8" t="n">
        <v>305</v>
      </c>
    </row>
    <row r="43">
      <c r="B43" s="8" t="inlineStr">
        <is>
          <t>XLPE|B2|3</t>
        </is>
      </c>
      <c r="C43" s="8" t="n">
        <v>19.5</v>
      </c>
      <c r="D43" s="8" t="n">
        <v>26</v>
      </c>
      <c r="E43" s="8" t="n">
        <v>35</v>
      </c>
      <c r="F43" s="8" t="n">
        <v>44</v>
      </c>
      <c r="G43" s="8" t="n">
        <v>60</v>
      </c>
      <c r="H43" s="8" t="n">
        <v>80</v>
      </c>
      <c r="I43" s="8" t="n">
        <v>105</v>
      </c>
      <c r="J43" s="8" t="n">
        <v>128</v>
      </c>
      <c r="K43" s="8" t="n">
        <v>154</v>
      </c>
      <c r="L43" s="8" t="n">
        <v>194</v>
      </c>
      <c r="M43" s="8" t="n">
        <v>233</v>
      </c>
      <c r="N43" s="8" t="n">
        <v>268</v>
      </c>
    </row>
    <row r="44">
      <c r="B44" s="8" t="inlineStr">
        <is>
          <t>XLPE|C|2</t>
        </is>
      </c>
      <c r="C44" s="8" t="n">
        <v>24</v>
      </c>
      <c r="D44" s="8" t="n">
        <v>33</v>
      </c>
      <c r="E44" s="8" t="n">
        <v>45</v>
      </c>
      <c r="F44" s="8" t="n">
        <v>58</v>
      </c>
      <c r="G44" s="8" t="n">
        <v>80</v>
      </c>
      <c r="H44" s="8" t="n">
        <v>107</v>
      </c>
      <c r="I44" s="8" t="n">
        <v>138</v>
      </c>
      <c r="J44" s="8" t="n">
        <v>171</v>
      </c>
      <c r="K44" s="8" t="n">
        <v>209</v>
      </c>
      <c r="L44" s="8" t="n">
        <v>269</v>
      </c>
      <c r="M44" s="8" t="n">
        <v>328</v>
      </c>
      <c r="N44" s="8" t="n">
        <v>382</v>
      </c>
    </row>
    <row r="45">
      <c r="B45" s="8" t="inlineStr">
        <is>
          <t>XLPE|C|3</t>
        </is>
      </c>
      <c r="C45" s="8" t="n">
        <v>22</v>
      </c>
      <c r="D45" s="8" t="n">
        <v>30</v>
      </c>
      <c r="E45" s="8" t="n">
        <v>40</v>
      </c>
      <c r="F45" s="8" t="n">
        <v>52</v>
      </c>
      <c r="G45" s="8" t="n">
        <v>71</v>
      </c>
      <c r="H45" s="8" t="n">
        <v>96</v>
      </c>
      <c r="I45" s="8" t="n">
        <v>119</v>
      </c>
      <c r="J45" s="8" t="n">
        <v>147</v>
      </c>
      <c r="K45" s="8" t="n">
        <v>179</v>
      </c>
      <c r="L45" s="8" t="n">
        <v>229</v>
      </c>
      <c r="M45" s="8" t="n">
        <v>278</v>
      </c>
      <c r="N45" s="8" t="n">
        <v>322</v>
      </c>
    </row>
    <row r="49">
      <c r="A49" s="5" t="inlineStr">
        <is>
          <t>Teplota °C</t>
        </is>
      </c>
      <c r="B49" s="5" t="inlineStr">
        <is>
          <t>PVC</t>
        </is>
      </c>
      <c r="C49" s="5" t="inlineStr">
        <is>
          <t>XLPE</t>
        </is>
      </c>
      <c r="E49" s="5" t="inlineStr">
        <is>
          <t>Obvodů</t>
        </is>
      </c>
      <c r="F49" s="5" t="inlineStr">
        <is>
          <t>k</t>
        </is>
      </c>
      <c r="H49" s="5" t="inlineStr">
        <is>
          <t>Typiz. In</t>
        </is>
      </c>
    </row>
    <row r="50">
      <c r="A50" s="8" t="n">
        <v>10</v>
      </c>
      <c r="B50" s="8" t="n">
        <v>1.22</v>
      </c>
      <c r="C50" s="8" t="n">
        <v>1.15</v>
      </c>
      <c r="E50" s="8" t="n">
        <v>1</v>
      </c>
      <c r="F50" s="8" t="n">
        <v>1</v>
      </c>
      <c r="H50" s="8" t="n">
        <v>6</v>
      </c>
    </row>
    <row r="51">
      <c r="A51" s="8" t="n">
        <v>15</v>
      </c>
      <c r="B51" s="8" t="n">
        <v>1.17</v>
      </c>
      <c r="C51" s="8" t="n">
        <v>1.12</v>
      </c>
      <c r="E51" s="8" t="n">
        <v>2</v>
      </c>
      <c r="F51" s="8" t="n">
        <v>0.8</v>
      </c>
      <c r="H51" s="8" t="n">
        <v>10</v>
      </c>
    </row>
    <row r="52">
      <c r="A52" s="8" t="n">
        <v>20</v>
      </c>
      <c r="B52" s="8" t="n">
        <v>1.12</v>
      </c>
      <c r="C52" s="8" t="n">
        <v>1.08</v>
      </c>
      <c r="E52" s="8" t="n">
        <v>3</v>
      </c>
      <c r="F52" s="8" t="n">
        <v>0.7</v>
      </c>
      <c r="H52" s="8" t="n">
        <v>13</v>
      </c>
    </row>
    <row r="53">
      <c r="A53" s="8" t="n">
        <v>25</v>
      </c>
      <c r="B53" s="8" t="n">
        <v>1.06</v>
      </c>
      <c r="C53" s="8" t="n">
        <v>1.04</v>
      </c>
      <c r="E53" s="8" t="n">
        <v>4</v>
      </c>
      <c r="F53" s="8" t="n">
        <v>0.65</v>
      </c>
      <c r="H53" s="8" t="n">
        <v>16</v>
      </c>
    </row>
    <row r="54">
      <c r="A54" s="8" t="n">
        <v>30</v>
      </c>
      <c r="B54" s="8" t="n">
        <v>1</v>
      </c>
      <c r="C54" s="8" t="n">
        <v>1</v>
      </c>
      <c r="E54" s="8" t="n">
        <v>5</v>
      </c>
      <c r="F54" s="8" t="n">
        <v>0.6</v>
      </c>
      <c r="H54" s="8" t="n">
        <v>20</v>
      </c>
    </row>
    <row r="55">
      <c r="A55" s="8" t="n">
        <v>35</v>
      </c>
      <c r="B55" s="8" t="n">
        <v>0.9399999999999999</v>
      </c>
      <c r="C55" s="8" t="n">
        <v>0.96</v>
      </c>
      <c r="E55" s="8" t="n">
        <v>6</v>
      </c>
      <c r="F55" s="8" t="n">
        <v>0.57</v>
      </c>
      <c r="H55" s="8" t="n">
        <v>25</v>
      </c>
    </row>
    <row r="56">
      <c r="A56" s="8" t="n">
        <v>40</v>
      </c>
      <c r="B56" s="8" t="n">
        <v>0.87</v>
      </c>
      <c r="C56" s="8" t="n">
        <v>0.91</v>
      </c>
      <c r="E56" s="8" t="n">
        <v>7</v>
      </c>
      <c r="F56" s="8" t="n">
        <v>0.54</v>
      </c>
      <c r="H56" s="8" t="n">
        <v>32</v>
      </c>
    </row>
    <row r="57">
      <c r="A57" s="8" t="n">
        <v>45</v>
      </c>
      <c r="B57" s="8" t="n">
        <v>0.79</v>
      </c>
      <c r="C57" s="8" t="n">
        <v>0.87</v>
      </c>
      <c r="E57" s="8" t="n">
        <v>8</v>
      </c>
      <c r="F57" s="8" t="n">
        <v>0.52</v>
      </c>
      <c r="H57" s="8" t="n">
        <v>40</v>
      </c>
    </row>
    <row r="58">
      <c r="A58" s="8" t="n">
        <v>50</v>
      </c>
      <c r="B58" s="8" t="n">
        <v>0.71</v>
      </c>
      <c r="C58" s="8" t="n">
        <v>0.82</v>
      </c>
      <c r="E58" s="8" t="n">
        <v>9</v>
      </c>
      <c r="F58" s="8" t="n">
        <v>0.5</v>
      </c>
      <c r="H58" s="8" t="n">
        <v>50</v>
      </c>
    </row>
    <row r="59">
      <c r="A59" s="8" t="n">
        <v>55</v>
      </c>
      <c r="B59" s="8" t="n">
        <v>0.61</v>
      </c>
      <c r="C59" s="8" t="n">
        <v>0.76</v>
      </c>
      <c r="E59" s="8" t="n">
        <v>12</v>
      </c>
      <c r="F59" s="8" t="n">
        <v>0.45</v>
      </c>
      <c r="H59" s="8" t="n">
        <v>63</v>
      </c>
    </row>
    <row r="60">
      <c r="A60" s="8" t="n">
        <v>60</v>
      </c>
      <c r="B60" s="8" t="n">
        <v>0.5</v>
      </c>
      <c r="C60" s="8" t="n">
        <v>0.71</v>
      </c>
      <c r="E60" s="8" t="n">
        <v>16</v>
      </c>
      <c r="F60" s="8" t="n">
        <v>0.41</v>
      </c>
      <c r="H60" s="8" t="n">
        <v>80</v>
      </c>
    </row>
    <row r="61">
      <c r="E61" s="8" t="n">
        <v>20</v>
      </c>
      <c r="F61" s="8" t="n">
        <v>0.38</v>
      </c>
      <c r="H61" s="8" t="n">
        <v>100</v>
      </c>
    </row>
    <row r="62">
      <c r="H62" s="8" t="n">
        <v>125</v>
      </c>
    </row>
    <row r="63">
      <c r="H63" s="8" t="n">
        <v>160</v>
      </c>
    </row>
    <row r="64">
      <c r="H64" s="8" t="n">
        <v>200</v>
      </c>
    </row>
    <row r="65">
      <c r="H65" s="8" t="n">
        <v>250</v>
      </c>
    </row>
    <row r="66">
      <c r="H66" s="8" t="n">
        <v>315</v>
      </c>
    </row>
    <row r="67">
      <c r="H67" s="8" t="n">
        <v>400</v>
      </c>
    </row>
    <row r="68">
      <c r="H68" s="8" t="n">
        <v>500</v>
      </c>
    </row>
    <row r="69">
      <c r="H69" s="8" t="n">
        <v>630</v>
      </c>
    </row>
  </sheetData>
  <dataValidations count="6">
    <dataValidation sqref="B6" showDropDown="0" showInputMessage="0" showErrorMessage="0" allowBlank="0" type="list">
      <formula1>"PVC,XLPE"</formula1>
    </dataValidation>
    <dataValidation sqref="B7" showDropDown="0" showInputMessage="0" showErrorMessage="0" allowBlank="0" type="list">
      <formula1>"A1,B1,B2,C"</formula1>
    </dataValidation>
    <dataValidation sqref="B8" showDropDown="0" showInputMessage="0" showErrorMessage="0" allowBlank="0" type="list">
      <formula1>"2,3"</formula1>
    </dataValidation>
    <dataValidation sqref="B9" showDropDown="0" showInputMessage="0" showErrorMessage="0" allowBlank="0" type="list">
      <formula1>"Cu,Al"</formula1>
    </dataValidation>
    <dataValidation sqref="B10" showDropDown="0" showInputMessage="0" showErrorMessage="0" allowBlank="0" type="list">
      <formula1>"10,15,20,25,30,35,40,45,50,55,60"</formula1>
    </dataValidation>
    <dataValidation sqref="B11" showDropDown="0" showInputMessage="0" showErrorMessage="0" allowBlank="0" type="list">
      <formula1>"1,2,3,4,5,6,7,8,9,12,16,20"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</cols>
  <sheetData>
    <row r="1">
      <c r="A1" s="1" t="inlineStr">
        <is>
          <t>Smyčka</t>
        </is>
      </c>
    </row>
    <row r="2">
      <c r="A2" s="2" t="inlineStr">
        <is>
          <t>Podmínka odpojení: Zs ≤ U₀/Ia, Ia = k·In (B 5×, C 10×, D 20×)</t>
        </is>
      </c>
    </row>
    <row r="4">
      <c r="A4" t="inlineStr">
        <is>
          <t>Fázové napětí U₀</t>
        </is>
      </c>
      <c r="B4" s="6" t="n">
        <v>230</v>
      </c>
      <c r="C4" s="7" t="inlineStr">
        <is>
          <t>V</t>
        </is>
      </c>
    </row>
    <row r="5">
      <c r="A5" t="inlineStr">
        <is>
          <t>Charakteristika</t>
        </is>
      </c>
      <c r="B5" s="6" t="inlineStr">
        <is>
          <t>B</t>
        </is>
      </c>
      <c r="C5" s="7" t="inlineStr"/>
    </row>
    <row r="6">
      <c r="A6" t="inlineStr">
        <is>
          <t>Jmenovitý proud In</t>
        </is>
      </c>
      <c r="B6" s="6" t="n">
        <v>16</v>
      </c>
      <c r="C6" s="7" t="inlineStr">
        <is>
          <t>A</t>
        </is>
      </c>
    </row>
    <row r="7">
      <c r="A7" t="inlineStr">
        <is>
          <t>Impedance před obvodem Zs₀</t>
        </is>
      </c>
      <c r="B7" s="6" t="n">
        <v>0.3</v>
      </c>
      <c r="C7" s="7" t="inlineStr">
        <is>
          <t>Ω</t>
        </is>
      </c>
    </row>
    <row r="8">
      <c r="A8" t="inlineStr">
        <is>
          <t>Délka vedení</t>
        </is>
      </c>
      <c r="B8" s="6" t="n">
        <v>60</v>
      </c>
      <c r="C8" s="7" t="inlineStr">
        <is>
          <t>m</t>
        </is>
      </c>
    </row>
    <row r="9">
      <c r="A9" t="inlineStr">
        <is>
          <t>Průřez fáze</t>
        </is>
      </c>
      <c r="B9" s="6" t="n">
        <v>2.5</v>
      </c>
      <c r="C9" s="7" t="inlineStr">
        <is>
          <t>mm²</t>
        </is>
      </c>
    </row>
    <row r="10">
      <c r="A10" t="inlineStr">
        <is>
          <t>Průřez PE</t>
        </is>
      </c>
      <c r="B10" s="6" t="n">
        <v>2.5</v>
      </c>
      <c r="C10" s="7" t="inlineStr">
        <is>
          <t>mm²</t>
        </is>
      </c>
    </row>
    <row r="11">
      <c r="A11" t="inlineStr">
        <is>
          <t>Materiál</t>
        </is>
      </c>
      <c r="B11" s="6" t="inlineStr">
        <is>
          <t>Cu</t>
        </is>
      </c>
      <c r="C11" s="7" t="inlineStr"/>
    </row>
    <row r="12">
      <c r="A12" t="inlineStr">
        <is>
          <t>Teplota vodiče</t>
        </is>
      </c>
      <c r="B12" s="6" t="n">
        <v>70</v>
      </c>
      <c r="C12" s="7" t="inlineStr">
        <is>
          <t>°C</t>
        </is>
      </c>
    </row>
    <row r="14">
      <c r="A14" s="3" t="inlineStr">
        <is>
          <t>Výsledky</t>
        </is>
      </c>
      <c r="B14" s="4" t="n"/>
      <c r="C14" s="4" t="n"/>
    </row>
    <row r="15">
      <c r="A15" t="inlineStr">
        <is>
          <t>Činný odpor R′ smyčky (fáze + PE)</t>
        </is>
      </c>
      <c r="B15" s="12">
        <f>IF($B$11="Cu",1/56,1/35)*(1+IF($B$11="Cu",0.00393,0.00403)*($B$12-20))*(1/$B$9+1/$B$10)</f>
        <v/>
      </c>
      <c r="C15" s="7" t="inlineStr">
        <is>
          <t>Ω/m</t>
        </is>
      </c>
    </row>
    <row r="16">
      <c r="A16" t="inlineStr">
        <is>
          <t>Impedance vedení</t>
        </is>
      </c>
      <c r="B16" s="17">
        <f>SQRT(($B$15*$B$8)^2+(0.00016*$B$8)^2)</f>
        <v/>
      </c>
      <c r="C16" s="7" t="inlineStr">
        <is>
          <t>Ω</t>
        </is>
      </c>
    </row>
    <row r="17">
      <c r="A17" t="inlineStr">
        <is>
          <t>Zs celkem</t>
        </is>
      </c>
      <c r="B17" s="20">
        <f>$B$7+$B$16</f>
        <v/>
      </c>
      <c r="C17" s="7" t="inlineStr">
        <is>
          <t>Ω</t>
        </is>
      </c>
    </row>
    <row r="18">
      <c r="A18" t="inlineStr">
        <is>
          <t>Ia (vybavovací proud)</t>
        </is>
      </c>
      <c r="B18" s="10">
        <f>IF($B$5="B",5,IF($B$5="C",10,20))*$B$6</f>
        <v/>
      </c>
      <c r="C18" s="7" t="inlineStr">
        <is>
          <t>A</t>
        </is>
      </c>
    </row>
    <row r="19">
      <c r="A19" t="inlineStr">
        <is>
          <t>Zs,max = U₀/Ia</t>
        </is>
      </c>
      <c r="B19" s="17">
        <f>$B$4/$B$18</f>
        <v/>
      </c>
      <c r="C19" s="7" t="inlineStr">
        <is>
          <t>Ω</t>
        </is>
      </c>
    </row>
    <row r="20">
      <c r="A20" t="inlineStr">
        <is>
          <t>Zs,max pro měření (× 2/3)</t>
        </is>
      </c>
      <c r="B20" s="17">
        <f>$B$19*2/3</f>
        <v/>
      </c>
      <c r="C20" s="7" t="inlineStr">
        <is>
          <t>Ω</t>
        </is>
      </c>
    </row>
    <row r="21">
      <c r="A21" t="inlineStr">
        <is>
          <t>Hodnocení</t>
        </is>
      </c>
      <c r="B21" s="14">
        <f>IF($B$17&lt;=$B$19,"OK – vyhovuje","CHYBA – nevyhovuje")</f>
        <v/>
      </c>
      <c r="C21" s="7" t="inlineStr"/>
    </row>
    <row r="22">
      <c r="A22" t="inlineStr">
        <is>
          <t>Zkratový proud na konci</t>
        </is>
      </c>
      <c r="B22" s="10">
        <f>$B$4/$B$17</f>
        <v/>
      </c>
      <c r="C22" s="7" t="inlineStr">
        <is>
          <t>A</t>
        </is>
      </c>
    </row>
    <row r="23">
      <c r="A23" t="inlineStr">
        <is>
          <t>Max. délka při těchto průřezech</t>
        </is>
      </c>
      <c r="B23" s="10">
        <f>IF($B$19&gt;$B$7,($B$19-$B$7)/SQRT($B$15^2+0.00016^2),"–")</f>
        <v/>
      </c>
      <c r="C23" s="7" t="inlineStr">
        <is>
          <t>m</t>
        </is>
      </c>
    </row>
    <row r="24">
      <c r="A24" s="21" t="inlineStr">
        <is>
          <t>Doplňující ochrana RCD 30 mA se vyžaduje nezávisle. Skutečnou hodnotu ověřte měřením při revizi.</t>
        </is>
      </c>
    </row>
  </sheetData>
  <conditionalFormatting sqref="B21">
    <cfRule type="expression" priority="1" dxfId="0">
      <formula>ISNUMBER(SEARCH("OK",B21))</formula>
    </cfRule>
    <cfRule type="expression" priority="2" dxfId="1">
      <formula>ISNUMBER(SEARCH("CHYBA",B21))</formula>
    </cfRule>
    <cfRule type="expression" priority="3" dxfId="2">
      <formula>ISNUMBER(SEARCH("POZOR",B21))</formula>
    </cfRule>
  </conditionalFormatting>
  <dataValidations count="2">
    <dataValidation sqref="B5" showDropDown="0" showInputMessage="0" showErrorMessage="0" allowBlank="0" type="list">
      <formula1>"B,C,D"</formula1>
    </dataValidation>
    <dataValidation sqref="B11" showDropDown="0" showInputMessage="0" showErrorMessage="0" allowBlank="0" type="list">
      <formula1>"Cu,Al"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</cols>
  <sheetData>
    <row r="1">
      <c r="A1" s="1" t="inlineStr">
        <is>
          <t>Výkon a kompenzace</t>
        </is>
      </c>
    </row>
    <row r="3">
      <c r="A3" s="3" t="inlineStr">
        <is>
          <t>Výkon ↔ proud</t>
        </is>
      </c>
      <c r="B3" s="4" t="n"/>
      <c r="C3" s="4" t="n"/>
    </row>
    <row r="4">
      <c r="A4" t="inlineStr">
        <is>
          <t>Soustava (1 / 3)</t>
        </is>
      </c>
      <c r="B4" s="6" t="n">
        <v>3</v>
      </c>
      <c r="C4" s="7" t="inlineStr"/>
    </row>
    <row r="5">
      <c r="A5" t="inlineStr">
        <is>
          <t>Napětí (sdružené u 3f)</t>
        </is>
      </c>
      <c r="B5" s="6" t="n">
        <v>400</v>
      </c>
      <c r="C5" s="7" t="inlineStr">
        <is>
          <t>V</t>
        </is>
      </c>
    </row>
    <row r="6">
      <c r="A6" t="inlineStr">
        <is>
          <t>cos φ</t>
        </is>
      </c>
      <c r="B6" s="6" t="n">
        <v>0.9</v>
      </c>
      <c r="C6" s="7" t="inlineStr"/>
    </row>
    <row r="7">
      <c r="A7" t="inlineStr">
        <is>
          <t>Činný výkon P (vyplň P nebo I)</t>
        </is>
      </c>
      <c r="B7" s="6" t="n">
        <v>11</v>
      </c>
      <c r="C7" s="7" t="inlineStr">
        <is>
          <t>kW</t>
        </is>
      </c>
    </row>
    <row r="8">
      <c r="A8" t="inlineStr">
        <is>
          <t>Proud I (volitelně, přepíše P)</t>
        </is>
      </c>
      <c r="B8" s="6" t="n"/>
      <c r="C8" s="7" t="inlineStr">
        <is>
          <t>A</t>
        </is>
      </c>
    </row>
    <row r="9">
      <c r="A9" t="inlineStr">
        <is>
          <t>Proud</t>
        </is>
      </c>
      <c r="B9" s="13">
        <f>IF($B$8&lt;&gt;"",$B$8,$B$7*1000/(IF($B$4=1,1,SQRT(3))*$B$5*$B$6))</f>
        <v/>
      </c>
      <c r="C9" s="7" t="inlineStr">
        <is>
          <t>A</t>
        </is>
      </c>
    </row>
    <row r="10">
      <c r="A10" t="inlineStr">
        <is>
          <t>Činný výkon P</t>
        </is>
      </c>
      <c r="B10" s="11">
        <f>IF($B$4=1,1,SQRT(3))*$B$5*$B$9*$B$6/1000</f>
        <v/>
      </c>
      <c r="C10" s="7" t="inlineStr">
        <is>
          <t>kW</t>
        </is>
      </c>
    </row>
    <row r="11">
      <c r="A11" t="inlineStr">
        <is>
          <t>Zdánlivý výkon S</t>
        </is>
      </c>
      <c r="B11" s="11">
        <f>IF($B$4=1,1,SQRT(3))*$B$5*$B$9/1000</f>
        <v/>
      </c>
      <c r="C11" s="7" t="inlineStr">
        <is>
          <t>kVA</t>
        </is>
      </c>
    </row>
    <row r="12">
      <c r="A12" t="inlineStr">
        <is>
          <t>Jalový výkon Q</t>
        </is>
      </c>
      <c r="B12" s="11">
        <f>SQRT(MAX($B$11^2-$B$10^2,0))</f>
        <v/>
      </c>
      <c r="C12" s="7" t="inlineStr">
        <is>
          <t>kvar</t>
        </is>
      </c>
    </row>
    <row r="14">
      <c r="A14" s="3" t="inlineStr">
        <is>
          <t>Kompenzace účiníku</t>
        </is>
      </c>
      <c r="B14" s="4" t="n"/>
      <c r="C14" s="4" t="n"/>
    </row>
    <row r="15">
      <c r="A15" t="inlineStr">
        <is>
          <t>Činný výkon P</t>
        </is>
      </c>
      <c r="B15" s="6" t="n">
        <v>50</v>
      </c>
      <c r="C15" s="7" t="inlineStr">
        <is>
          <t>kW</t>
        </is>
      </c>
    </row>
    <row r="16">
      <c r="A16" t="inlineStr">
        <is>
          <t>Stávající cos φ</t>
        </is>
      </c>
      <c r="B16" s="6" t="n">
        <v>0.8</v>
      </c>
      <c r="C16" s="7" t="inlineStr"/>
    </row>
    <row r="17">
      <c r="A17" t="inlineStr">
        <is>
          <t>Cílový cos φ</t>
        </is>
      </c>
      <c r="B17" s="6" t="n">
        <v>0.98</v>
      </c>
      <c r="C17" s="7" t="inlineStr"/>
    </row>
    <row r="18">
      <c r="A18" t="inlineStr">
        <is>
          <t>Potřebný kompenzační výkon Qc</t>
        </is>
      </c>
      <c r="B18" s="13">
        <f>$B$15*(TAN(ACOS($B$16))-TAN(ACOS($B$17)))</f>
        <v/>
      </c>
      <c r="C18" s="7" t="inlineStr">
        <is>
          <t>kvar</t>
        </is>
      </c>
    </row>
  </sheetData>
  <dataValidations count="1">
    <dataValidation sqref="B4" showDropDown="0" showInputMessage="0" showErrorMessage="0" allowBlank="0" type="list">
      <formula1>"1,3"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12" customWidth="1" min="4" max="4"/>
    <col width="16" customWidth="1" min="5" max="5"/>
    <col width="16" customWidth="1" min="6" max="6"/>
  </cols>
  <sheetData>
    <row r="1">
      <c r="A1" s="1" t="inlineStr">
        <is>
          <t>Bilance příkonu</t>
        </is>
      </c>
    </row>
    <row r="2">
      <c r="A2" s="2" t="inlineStr">
        <is>
          <t>Instalovaný výkon × počet × soudobost. Proud pro 3f 400 V.</t>
        </is>
      </c>
    </row>
    <row r="4">
      <c r="A4" s="5" t="inlineStr">
        <is>
          <t>Spotřebič</t>
        </is>
      </c>
      <c r="B4" s="5" t="inlineStr">
        <is>
          <t>P (kW)</t>
        </is>
      </c>
      <c r="C4" s="5" t="inlineStr">
        <is>
          <t>ks</t>
        </is>
      </c>
      <c r="D4" s="5" t="inlineStr">
        <is>
          <t>β</t>
        </is>
      </c>
      <c r="E4" s="5" t="inlineStr">
        <is>
          <t>Instalovaný</t>
        </is>
      </c>
      <c r="F4" s="5" t="inlineStr">
        <is>
          <t>Soudobý</t>
        </is>
      </c>
    </row>
    <row r="5">
      <c r="A5" s="22" t="inlineStr">
        <is>
          <t>Osvětlení</t>
        </is>
      </c>
      <c r="B5" s="22" t="n">
        <v>3</v>
      </c>
      <c r="C5" s="22" t="n">
        <v>1</v>
      </c>
      <c r="D5" s="22" t="n">
        <v>0.8</v>
      </c>
      <c r="E5" s="8">
        <f>IF(B5="","",B5*C5)</f>
        <v/>
      </c>
      <c r="F5" s="8">
        <f>IF(B5="","",B5*C5*D5)</f>
        <v/>
      </c>
    </row>
    <row r="6">
      <c r="A6" s="22" t="inlineStr">
        <is>
          <t>Zásuvky</t>
        </is>
      </c>
      <c r="B6" s="22" t="n">
        <v>6</v>
      </c>
      <c r="C6" s="22" t="n">
        <v>1</v>
      </c>
      <c r="D6" s="22" t="n">
        <v>0.5</v>
      </c>
      <c r="E6" s="8">
        <f>IF(B6="","",B6*C6)</f>
        <v/>
      </c>
      <c r="F6" s="8">
        <f>IF(B6="","",B6*C6*D6)</f>
        <v/>
      </c>
    </row>
    <row r="7">
      <c r="A7" s="22" t="inlineStr">
        <is>
          <t>Tepelné čerpadlo</t>
        </is>
      </c>
      <c r="B7" s="22" t="n">
        <v>5</v>
      </c>
      <c r="C7" s="22" t="n">
        <v>1</v>
      </c>
      <c r="D7" s="22" t="n">
        <v>1</v>
      </c>
      <c r="E7" s="8">
        <f>IF(B7="","",B7*C7)</f>
        <v/>
      </c>
      <c r="F7" s="8">
        <f>IF(B7="","",B7*C7*D7)</f>
        <v/>
      </c>
    </row>
    <row r="8">
      <c r="A8" s="22" t="inlineStr">
        <is>
          <t>Indukční varná deska</t>
        </is>
      </c>
      <c r="B8" s="22" t="n">
        <v>7</v>
      </c>
      <c r="C8" s="22" t="n">
        <v>1</v>
      </c>
      <c r="D8" s="22" t="n">
        <v>0.5</v>
      </c>
      <c r="E8" s="8">
        <f>IF(B8="","",B8*C8)</f>
        <v/>
      </c>
      <c r="F8" s="8">
        <f>IF(B8="","",B8*C8*D8)</f>
        <v/>
      </c>
    </row>
    <row r="9">
      <c r="A9" s="22" t="inlineStr">
        <is>
          <t>Wallbox</t>
        </is>
      </c>
      <c r="B9" s="22" t="n">
        <v>11</v>
      </c>
      <c r="C9" s="22" t="n">
        <v>1</v>
      </c>
      <c r="D9" s="22" t="n">
        <v>0.6</v>
      </c>
      <c r="E9" s="8">
        <f>IF(B9="","",B9*C9)</f>
        <v/>
      </c>
      <c r="F9" s="8">
        <f>IF(B9="","",B9*C9*D9)</f>
        <v/>
      </c>
    </row>
    <row r="10">
      <c r="A10" s="22" t="inlineStr"/>
      <c r="B10" s="22" t="n"/>
      <c r="C10" s="22" t="n"/>
      <c r="D10" s="22" t="n"/>
      <c r="E10" s="8">
        <f>IF(B10="","",B10*C10)</f>
        <v/>
      </c>
      <c r="F10" s="8">
        <f>IF(B10="","",B10*C10*D10)</f>
        <v/>
      </c>
    </row>
    <row r="11">
      <c r="A11" s="22" t="inlineStr"/>
      <c r="B11" s="22" t="n"/>
      <c r="C11" s="22" t="n"/>
      <c r="D11" s="22" t="n"/>
      <c r="E11" s="8">
        <f>IF(B11="","",B11*C11)</f>
        <v/>
      </c>
      <c r="F11" s="8">
        <f>IF(B11="","",B11*C11*D11)</f>
        <v/>
      </c>
    </row>
    <row r="12">
      <c r="A12" s="22" t="inlineStr"/>
      <c r="B12" s="22" t="n"/>
      <c r="C12" s="22" t="n"/>
      <c r="D12" s="22" t="n"/>
      <c r="E12" s="8">
        <f>IF(B12="","",B12*C12)</f>
        <v/>
      </c>
      <c r="F12" s="8">
        <f>IF(B12="","",B12*C12*D12)</f>
        <v/>
      </c>
    </row>
    <row r="13">
      <c r="A13" s="22" t="inlineStr"/>
      <c r="B13" s="22" t="n"/>
      <c r="C13" s="22" t="n"/>
      <c r="D13" s="22" t="n"/>
      <c r="E13" s="8">
        <f>IF(B13="","",B13*C13)</f>
        <v/>
      </c>
      <c r="F13" s="8">
        <f>IF(B13="","",B13*C13*D13)</f>
        <v/>
      </c>
    </row>
    <row r="14">
      <c r="A14" s="22" t="inlineStr"/>
      <c r="B14" s="22" t="n"/>
      <c r="C14" s="22" t="n"/>
      <c r="D14" s="22" t="n"/>
      <c r="E14" s="8">
        <f>IF(B14="","",B14*C14)</f>
        <v/>
      </c>
      <c r="F14" s="8">
        <f>IF(B14="","",B14*C14*D14)</f>
        <v/>
      </c>
    </row>
    <row r="15">
      <c r="A15" s="22" t="inlineStr"/>
      <c r="B15" s="22" t="n"/>
      <c r="C15" s="22" t="n"/>
      <c r="D15" s="22" t="n"/>
      <c r="E15" s="8">
        <f>IF(B15="","",B15*C15)</f>
        <v/>
      </c>
      <c r="F15" s="8">
        <f>IF(B15="","",B15*C15*D15)</f>
        <v/>
      </c>
    </row>
    <row r="16">
      <c r="A16" s="22" t="inlineStr"/>
      <c r="B16" s="22" t="n"/>
      <c r="C16" s="22" t="n"/>
      <c r="D16" s="22" t="n"/>
      <c r="E16" s="8">
        <f>IF(B16="","",B16*C16)</f>
        <v/>
      </c>
      <c r="F16" s="8">
        <f>IF(B16="","",B16*C16*D16)</f>
        <v/>
      </c>
    </row>
    <row r="18">
      <c r="A18" t="inlineStr">
        <is>
          <t>cos φ (průměr)</t>
        </is>
      </c>
      <c r="B18" s="6" t="n">
        <v>0.95</v>
      </c>
      <c r="C18" s="7" t="inlineStr"/>
    </row>
    <row r="19">
      <c r="A19" t="inlineStr">
        <is>
          <t>Rezerva</t>
        </is>
      </c>
      <c r="B19" s="6" t="n">
        <v>20</v>
      </c>
      <c r="C19" s="7" t="inlineStr">
        <is>
          <t>%</t>
        </is>
      </c>
    </row>
    <row r="20">
      <c r="A20" t="inlineStr">
        <is>
          <t>Instalovaný příkon</t>
        </is>
      </c>
      <c r="B20" s="11">
        <f>SUM(E5:E16)</f>
        <v/>
      </c>
      <c r="C20" s="7" t="inlineStr">
        <is>
          <t>kW</t>
        </is>
      </c>
    </row>
    <row r="21">
      <c r="A21" t="inlineStr">
        <is>
          <t>Soudobý příkon</t>
        </is>
      </c>
      <c r="B21" s="11">
        <f>SUM(F5:F16)</f>
        <v/>
      </c>
      <c r="C21" s="7" t="inlineStr">
        <is>
          <t>kW</t>
        </is>
      </c>
    </row>
    <row r="22">
      <c r="A22" t="inlineStr">
        <is>
          <t>Soudobý proud (3f 400 V)</t>
        </is>
      </c>
      <c r="B22" s="11">
        <f>$B$21*1000/(SQRT(3)*400*$B$18)</f>
        <v/>
      </c>
      <c r="C22" s="7" t="inlineStr">
        <is>
          <t>A</t>
        </is>
      </c>
    </row>
    <row r="23">
      <c r="A23" t="inlineStr">
        <is>
          <t>Proud s rezervou</t>
        </is>
      </c>
      <c r="B23" s="11">
        <f>$B$22*(1+$B$19/100)</f>
        <v/>
      </c>
      <c r="C23" s="7" t="inlineStr">
        <is>
          <t>A</t>
        </is>
      </c>
    </row>
    <row r="24">
      <c r="A24" t="inlineStr">
        <is>
          <t>Hlavní jistič (min.)</t>
        </is>
      </c>
      <c r="B24" s="18">
        <f>IFERROR(INDEX('Zatížitelnost'!$H$50:$H$69,MATCH(TRUE,INDEX('Zatížitelnost'!$H$50:$H$69&gt;=$B$23,0),0)),"&gt; 630")</f>
        <v/>
      </c>
      <c r="C24" s="7" t="inlineStr">
        <is>
          <t>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5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</cols>
  <sheetData>
    <row r="1">
      <c r="A1" s="1" t="inlineStr">
        <is>
          <t>FVE string</t>
        </is>
      </c>
    </row>
    <row r="2">
      <c r="A2" s="2" t="inlineStr">
        <is>
          <t>Voc za mrazu ≤ max. DC napětí; Vmpp za tepla ≥ dolní mez MPPT</t>
        </is>
      </c>
    </row>
    <row r="4">
      <c r="A4" s="3" t="inlineStr">
        <is>
          <t>Panel (STC)</t>
        </is>
      </c>
      <c r="B4" s="4" t="n"/>
      <c r="C4" s="4" t="n"/>
    </row>
    <row r="5">
      <c r="A5" t="inlineStr">
        <is>
          <t>Pmax</t>
        </is>
      </c>
      <c r="B5" s="6" t="n">
        <v>440</v>
      </c>
      <c r="C5" s="7" t="inlineStr">
        <is>
          <t>Wp</t>
        </is>
      </c>
    </row>
    <row r="6">
      <c r="A6" t="inlineStr">
        <is>
          <t>Voc</t>
        </is>
      </c>
      <c r="B6" s="6" t="n">
        <v>40.3</v>
      </c>
      <c r="C6" s="7" t="inlineStr">
        <is>
          <t>V</t>
        </is>
      </c>
    </row>
    <row r="7">
      <c r="A7" t="inlineStr">
        <is>
          <t>Vmpp</t>
        </is>
      </c>
      <c r="B7" s="6" t="n">
        <v>33.9</v>
      </c>
      <c r="C7" s="7" t="inlineStr">
        <is>
          <t>V</t>
        </is>
      </c>
    </row>
    <row r="8">
      <c r="A8" t="inlineStr">
        <is>
          <t>Isc</t>
        </is>
      </c>
      <c r="B8" s="6" t="n">
        <v>13.9</v>
      </c>
      <c r="C8" s="7" t="inlineStr">
        <is>
          <t>A</t>
        </is>
      </c>
    </row>
    <row r="9">
      <c r="A9" t="inlineStr">
        <is>
          <t>Impp</t>
        </is>
      </c>
      <c r="B9" s="6" t="n">
        <v>13</v>
      </c>
      <c r="C9" s="7" t="inlineStr">
        <is>
          <t>A</t>
        </is>
      </c>
    </row>
    <row r="10">
      <c r="A10" t="inlineStr">
        <is>
          <t>TK Voc</t>
        </is>
      </c>
      <c r="B10" s="6" t="n">
        <v>-0.27</v>
      </c>
      <c r="C10" s="7" t="inlineStr">
        <is>
          <t>%/°C</t>
        </is>
      </c>
    </row>
    <row r="11">
      <c r="A11" t="inlineStr">
        <is>
          <t>TK Vmpp</t>
        </is>
      </c>
      <c r="B11" s="6" t="n">
        <v>-0.3</v>
      </c>
      <c r="C11" s="7" t="inlineStr">
        <is>
          <t>%/°C</t>
        </is>
      </c>
    </row>
    <row r="12">
      <c r="A12" s="3" t="inlineStr">
        <is>
          <t>Střídač</t>
        </is>
      </c>
      <c r="B12" s="4" t="n"/>
      <c r="C12" s="4" t="n"/>
    </row>
    <row r="13">
      <c r="A13" t="inlineStr">
        <is>
          <t>Max. DC napětí</t>
        </is>
      </c>
      <c r="B13" s="6" t="n">
        <v>1000</v>
      </c>
      <c r="C13" s="7" t="inlineStr">
        <is>
          <t>V</t>
        </is>
      </c>
    </row>
    <row r="14">
      <c r="A14" t="inlineStr">
        <is>
          <t>MPPT od</t>
        </is>
      </c>
      <c r="B14" s="6" t="n">
        <v>160</v>
      </c>
      <c r="C14" s="7" t="inlineStr">
        <is>
          <t>V</t>
        </is>
      </c>
    </row>
    <row r="15">
      <c r="A15" t="inlineStr">
        <is>
          <t>MPPT do</t>
        </is>
      </c>
      <c r="B15" s="6" t="n">
        <v>850</v>
      </c>
      <c r="C15" s="7" t="inlineStr">
        <is>
          <t>V</t>
        </is>
      </c>
    </row>
    <row r="16">
      <c r="A16" t="inlineStr">
        <is>
          <t>Max. proud / MPPT</t>
        </is>
      </c>
      <c r="B16" s="6" t="n">
        <v>16</v>
      </c>
      <c r="C16" s="7" t="inlineStr">
        <is>
          <t>A</t>
        </is>
      </c>
    </row>
    <row r="17">
      <c r="A17" t="inlineStr">
        <is>
          <t>Max. Isc / MPPT</t>
        </is>
      </c>
      <c r="B17" s="6" t="n">
        <v>22</v>
      </c>
      <c r="C17" s="7" t="inlineStr">
        <is>
          <t>A</t>
        </is>
      </c>
    </row>
    <row r="18">
      <c r="A18" t="inlineStr">
        <is>
          <t>Počet MPPT</t>
        </is>
      </c>
      <c r="B18" s="6" t="n">
        <v>2</v>
      </c>
      <c r="C18" s="7" t="inlineStr"/>
    </row>
    <row r="19">
      <c r="A19" t="inlineStr">
        <is>
          <t>Jmenovitý AC výkon</t>
        </is>
      </c>
      <c r="B19" s="6" t="n">
        <v>10</v>
      </c>
      <c r="C19" s="7" t="inlineStr">
        <is>
          <t>kW</t>
        </is>
      </c>
    </row>
    <row r="20">
      <c r="A20" s="3" t="inlineStr">
        <is>
          <t>Podmínky a konfigurace</t>
        </is>
      </c>
      <c r="B20" s="4" t="n"/>
      <c r="C20" s="4" t="n"/>
    </row>
    <row r="21">
      <c r="A21" t="inlineStr">
        <is>
          <t>Min. teplota okolí</t>
        </is>
      </c>
      <c r="B21" s="6" t="n">
        <v>-15</v>
      </c>
      <c r="C21" s="7" t="inlineStr">
        <is>
          <t>°C</t>
        </is>
      </c>
    </row>
    <row r="22">
      <c r="A22" t="inlineStr">
        <is>
          <t>Max. teplota článků</t>
        </is>
      </c>
      <c r="B22" s="6" t="n">
        <v>70</v>
      </c>
      <c r="C22" s="7" t="inlineStr">
        <is>
          <t>°C</t>
        </is>
      </c>
    </row>
    <row r="23">
      <c r="A23" t="inlineStr">
        <is>
          <t>Panelů v řetězci</t>
        </is>
      </c>
      <c r="B23" s="6" t="n">
        <v>14</v>
      </c>
      <c r="C23" s="7" t="inlineStr"/>
    </row>
    <row r="24">
      <c r="A24" t="inlineStr">
        <is>
          <t>Paralelních řetězců / MPPT</t>
        </is>
      </c>
      <c r="B24" s="6" t="n">
        <v>1</v>
      </c>
      <c r="C24" s="7" t="inlineStr"/>
    </row>
    <row r="25">
      <c r="A25" t="inlineStr">
        <is>
          <t>Využitých MPPT</t>
        </is>
      </c>
      <c r="B25" s="6" t="n">
        <v>2</v>
      </c>
      <c r="C25" s="7" t="inlineStr"/>
    </row>
    <row r="27">
      <c r="A27" s="3" t="inlineStr">
        <is>
          <t>Výsledky</t>
        </is>
      </c>
      <c r="B27" s="4" t="n"/>
      <c r="C27" s="4" t="n"/>
    </row>
    <row r="28">
      <c r="A28" t="inlineStr">
        <is>
          <t>Voc při min. teplotě</t>
        </is>
      </c>
      <c r="B28" s="23">
        <f>$B$6*(1+$B$10/100*($B$21-25))</f>
        <v/>
      </c>
      <c r="C28" s="7" t="inlineStr">
        <is>
          <t>V</t>
        </is>
      </c>
    </row>
    <row r="29">
      <c r="A29" t="inlineStr">
        <is>
          <t>Vmpp při max. teplotě článků</t>
        </is>
      </c>
      <c r="B29" s="23">
        <f>$B$7*(1+$B$11/100*($B$22-25))</f>
        <v/>
      </c>
      <c r="C29" s="7" t="inlineStr">
        <is>
          <t>V</t>
        </is>
      </c>
    </row>
    <row r="30">
      <c r="A30" t="inlineStr">
        <is>
          <t>Vmpp při min. teplotě</t>
        </is>
      </c>
      <c r="B30" s="23">
        <f>$B$7*(1+$B$11/100*($B$21-25))</f>
        <v/>
      </c>
      <c r="C30" s="7" t="inlineStr">
        <is>
          <t>V</t>
        </is>
      </c>
    </row>
    <row r="31">
      <c r="A31" t="inlineStr">
        <is>
          <t>Max. panelů (z hlediska max. DC napětí)</t>
        </is>
      </c>
      <c r="B31" s="10">
        <f>ROUNDDOWN($B$13/$B$28,0)</f>
        <v/>
      </c>
      <c r="C31" s="7" t="inlineStr"/>
    </row>
    <row r="32">
      <c r="A32" t="inlineStr">
        <is>
          <t>Max. panelů (horní mez MPPT)</t>
        </is>
      </c>
      <c r="B32" s="10">
        <f>ROUNDDOWN($B$15/$B$30,0)</f>
        <v/>
      </c>
      <c r="C32" s="7" t="inlineStr"/>
    </row>
    <row r="33">
      <c r="A33" t="inlineStr">
        <is>
          <t>Min. panelů (dolní mez MPPT)</t>
        </is>
      </c>
      <c r="B33" s="10">
        <f>ROUNDUP($B$14/$B$29,0)</f>
        <v/>
      </c>
      <c r="C33" s="7" t="inlineStr"/>
    </row>
    <row r="34">
      <c r="A34" t="inlineStr">
        <is>
          <t>Doporučený rozsah panelů v řetězci</t>
        </is>
      </c>
      <c r="B34" s="24">
        <f>IF($B$33&lt;=MIN($B$31,$B$32),$B$33&amp;" až "&amp;MIN($B$31,$B$32),"žádná vyhovující délka")</f>
        <v/>
      </c>
      <c r="C34" s="7" t="inlineStr"/>
    </row>
    <row r="35">
      <c r="A35" t="inlineStr">
        <is>
          <t>Voc za mrazu (řetězec)</t>
        </is>
      </c>
      <c r="B35" s="10">
        <f>$B$23*$B$28</f>
        <v/>
      </c>
      <c r="C35" s="7" t="inlineStr">
        <is>
          <t>V</t>
        </is>
      </c>
    </row>
    <row r="36">
      <c r="A36" t="inlineStr">
        <is>
          <t>1) Voc za mrazu ≤ max. DC napětí</t>
        </is>
      </c>
      <c r="B36" s="14">
        <f>IF($B$23*$B$28&lt;=$B$13,"OK","CHYBA")</f>
        <v/>
      </c>
      <c r="C36" s="7" t="inlineStr"/>
    </row>
    <row r="37">
      <c r="A37" t="inlineStr">
        <is>
          <t>2) Vmpp za tepla ≥ dolní mez MPPT</t>
        </is>
      </c>
      <c r="B37" s="14">
        <f>IF($B$23*$B$29&gt;=$B$14,"OK","CHYBA")</f>
        <v/>
      </c>
      <c r="C37" s="7" t="inlineStr"/>
    </row>
    <row r="38">
      <c r="A38" t="inlineStr">
        <is>
          <t>3) Vmpp za mrazu ≤ horní mez MPPT</t>
        </is>
      </c>
      <c r="B38" s="14">
        <f>IF($B$23*$B$30&lt;=$B$15,"OK","POZOR")</f>
        <v/>
      </c>
      <c r="C38" s="7" t="inlineStr"/>
    </row>
    <row r="39">
      <c r="A39" t="inlineStr">
        <is>
          <t>4) Impp × řetězce ≤ max. proud MPPT</t>
        </is>
      </c>
      <c r="B39" s="14">
        <f>IF($B$9*$B$24&lt;=$B$16,"OK","POZOR")</f>
        <v/>
      </c>
      <c r="C39" s="7" t="inlineStr"/>
    </row>
    <row r="40">
      <c r="A40" t="inlineStr">
        <is>
          <t>5) Isc × řetězce ≤ max. Isc MPPT</t>
        </is>
      </c>
      <c r="B40" s="14">
        <f>IF($B$8*$B$24&lt;=$B$17,"OK","CHYBA")</f>
        <v/>
      </c>
      <c r="C40" s="7" t="inlineStr"/>
    </row>
    <row r="41">
      <c r="A41" t="inlineStr">
        <is>
          <t>6) Využité MPPT ≤ počet MPPT</t>
        </is>
      </c>
      <c r="B41" s="14">
        <f>IF($B$25&lt;=$B$18,"OK","CHYBA")</f>
        <v/>
      </c>
      <c r="C41" s="7" t="inlineStr"/>
    </row>
    <row r="42">
      <c r="A42" t="inlineStr">
        <is>
          <t>Panelů celkem</t>
        </is>
      </c>
      <c r="B42" s="10">
        <f>$B$23*$B$24*$B$25</f>
        <v/>
      </c>
      <c r="C42" s="7" t="inlineStr">
        <is>
          <t>ks</t>
        </is>
      </c>
    </row>
    <row r="43">
      <c r="A43" t="inlineStr">
        <is>
          <t>DC výkon</t>
        </is>
      </c>
      <c r="B43" s="11">
        <f>$B$42*$B$5/1000</f>
        <v/>
      </c>
      <c r="C43" s="7" t="inlineStr">
        <is>
          <t>kWp</t>
        </is>
      </c>
    </row>
    <row r="44">
      <c r="A44" t="inlineStr">
        <is>
          <t>Poměr DC/AC</t>
        </is>
      </c>
      <c r="B44" s="13">
        <f>$B$43/$B$19</f>
        <v/>
      </c>
      <c r="C44" s="7" t="inlineStr"/>
    </row>
    <row r="45">
      <c r="A45" t="inlineStr">
        <is>
          <t>Hodnocení poměru</t>
        </is>
      </c>
      <c r="B45" s="14">
        <f>IF($B$44&lt;0.9,"POZOR – nízký",IF($B$44&lt;=1.3,"OK",IF($B$44&lt;=1.5,"POZOR – ořezávání špiček","CHYBA – příliš vysoký")))</f>
        <v/>
      </c>
      <c r="C45" s="7" t="inlineStr"/>
    </row>
  </sheetData>
  <conditionalFormatting sqref="B36:B41">
    <cfRule type="expression" priority="1" dxfId="0">
      <formula>ISNUMBER(SEARCH("OK",B36))</formula>
    </cfRule>
    <cfRule type="expression" priority="2" dxfId="1">
      <formula>ISNUMBER(SEARCH("CHYBA",B36))</formula>
    </cfRule>
    <cfRule type="expression" priority="3" dxfId="2">
      <formula>ISNUMBER(SEARCH("POZOR",B36))</formula>
    </cfRule>
  </conditionalFormatting>
  <conditionalFormatting sqref="B45">
    <cfRule type="expression" priority="4" dxfId="0">
      <formula>ISNUMBER(SEARCH("OK",B45))</formula>
    </cfRule>
    <cfRule type="expression" priority="5" dxfId="1">
      <formula>ISNUMBER(SEARCH("CHYBA",B45))</formula>
    </cfRule>
    <cfRule type="expression" priority="6" dxfId="2">
      <formula>ISNUMBER(SEARCH("POZOR",B45))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</cols>
  <sheetData>
    <row r="1">
      <c r="A1" s="1" t="inlineStr">
        <is>
          <t>FVE kabel a jištění</t>
        </is>
      </c>
    </row>
    <row r="3">
      <c r="A3" s="3" t="inlineStr">
        <is>
          <t>DC kabel — úbytek a ztráty</t>
        </is>
      </c>
      <c r="B3" s="4" t="n"/>
      <c r="C3" s="4" t="n"/>
    </row>
    <row r="4">
      <c r="A4" t="inlineStr">
        <is>
          <t>Proud řetězce</t>
        </is>
      </c>
      <c r="B4" s="6" t="n">
        <v>13</v>
      </c>
      <c r="C4" s="7" t="inlineStr">
        <is>
          <t>A</t>
        </is>
      </c>
    </row>
    <row r="5">
      <c r="A5" t="inlineStr">
        <is>
          <t>Napětí řetězce (Vmpp)</t>
        </is>
      </c>
      <c r="B5" s="6" t="n">
        <v>475</v>
      </c>
      <c r="C5" s="7" t="inlineStr">
        <is>
          <t>V</t>
        </is>
      </c>
    </row>
    <row r="6">
      <c r="A6" t="inlineStr">
        <is>
          <t>Délka (jednosměrně)</t>
        </is>
      </c>
      <c r="B6" s="6" t="n">
        <v>35</v>
      </c>
      <c r="C6" s="7" t="inlineStr">
        <is>
          <t>m</t>
        </is>
      </c>
    </row>
    <row r="7">
      <c r="A7" t="inlineStr">
        <is>
          <t>Průřez</t>
        </is>
      </c>
      <c r="B7" s="6" t="n">
        <v>6</v>
      </c>
      <c r="C7" s="7" t="inlineStr">
        <is>
          <t>mm²</t>
        </is>
      </c>
    </row>
    <row r="8">
      <c r="A8" t="inlineStr">
        <is>
          <t>Teplota kabelu</t>
        </is>
      </c>
      <c r="B8" s="6" t="n">
        <v>70</v>
      </c>
      <c r="C8" s="7" t="inlineStr">
        <is>
          <t>°C</t>
        </is>
      </c>
    </row>
    <row r="9">
      <c r="A9" t="inlineStr">
        <is>
          <t>Úbytek napětí</t>
        </is>
      </c>
      <c r="B9" s="11">
        <f>$B$4*(1/56*(1+0.00393*($B$8-20)))*2*$B$6/$B$7</f>
        <v/>
      </c>
      <c r="C9" s="7" t="inlineStr">
        <is>
          <t>V</t>
        </is>
      </c>
    </row>
    <row r="10">
      <c r="A10" t="inlineStr">
        <is>
          <t>Úbytek</t>
        </is>
      </c>
      <c r="B10" s="13">
        <f>$B$9/$B$5*100</f>
        <v/>
      </c>
      <c r="C10" s="7" t="inlineStr">
        <is>
          <t>%</t>
        </is>
      </c>
    </row>
    <row r="11">
      <c r="A11" t="inlineStr">
        <is>
          <t>Hodnocení</t>
        </is>
      </c>
      <c r="B11" s="14">
        <f>IF($B$10&lt;=1,"OK – dobré",IF($B$10&lt;=2,"POZOR – hraniční","CHYBA – vysoké"))</f>
        <v/>
      </c>
      <c r="C11" s="7" t="inlineStr"/>
    </row>
    <row r="12">
      <c r="A12" t="inlineStr">
        <is>
          <t>Ztráty výkonu</t>
        </is>
      </c>
      <c r="B12" s="10">
        <f>$B$4^2*(1/56*(1+0.00393*($B$8-20)))*2*$B$6/$B$7</f>
        <v/>
      </c>
      <c r="C12" s="7" t="inlineStr">
        <is>
          <t>W</t>
        </is>
      </c>
    </row>
    <row r="13">
      <c r="A13" t="inlineStr">
        <is>
          <t>Ztráty z výkonu řetězce</t>
        </is>
      </c>
      <c r="B13" s="11">
        <f>$B$4^2*(1/56*(1+0.00393*($B$8-20)))*2*$B$6/$B$7/($B$5*$B$4)*100</f>
        <v/>
      </c>
      <c r="C13" s="7" t="inlineStr">
        <is>
          <t>%</t>
        </is>
      </c>
    </row>
    <row r="14">
      <c r="A14" s="21" t="inlineStr">
        <is>
          <t>Proudové dimenzování DC kabelu min. 1,25·Isc (IEC 62548), solární kabel dle ČSN EN 50618.</t>
        </is>
      </c>
    </row>
    <row r="16">
      <c r="A16" s="3" t="inlineStr">
        <is>
          <t>DC pojistky řetězců</t>
        </is>
      </c>
      <c r="B16" s="4" t="n"/>
      <c r="C16" s="4" t="n"/>
    </row>
    <row r="17">
      <c r="A17" t="inlineStr">
        <is>
          <t>Isc panelu</t>
        </is>
      </c>
      <c r="B17" s="6" t="n">
        <v>13.9</v>
      </c>
      <c r="C17" s="7" t="inlineStr">
        <is>
          <t>A</t>
        </is>
      </c>
    </row>
    <row r="18">
      <c r="A18" t="inlineStr">
        <is>
          <t>Max. pojistka modulu</t>
        </is>
      </c>
      <c r="B18" s="6" t="n">
        <v>25</v>
      </c>
      <c r="C18" s="7" t="inlineStr">
        <is>
          <t>A</t>
        </is>
      </c>
    </row>
    <row r="19">
      <c r="A19" t="inlineStr">
        <is>
          <t>Paralelních řetězců</t>
        </is>
      </c>
      <c r="B19" s="6" t="n">
        <v>3</v>
      </c>
      <c r="C19" s="7" t="inlineStr"/>
    </row>
    <row r="20">
      <c r="A20" t="inlineStr">
        <is>
          <t>Min. pojistka řetězce (1,56·Isc)</t>
        </is>
      </c>
      <c r="B20" s="23">
        <f>1.56*$B$17</f>
        <v/>
      </c>
      <c r="C20" s="7" t="inlineStr">
        <is>
          <t>A</t>
        </is>
      </c>
    </row>
    <row r="21">
      <c r="A21" t="inlineStr">
        <is>
          <t>Doporučená gPV pojistka</t>
        </is>
      </c>
      <c r="B21" s="18">
        <f>IFERROR(INDEX({10,12,15,16,20,25,30,32,40},MATCH(TRUE,INDEX({10,12,15,16,20,25,30,32,40}&gt;=$B$20,0),0)),"–")</f>
        <v/>
      </c>
      <c r="C21" s="7" t="inlineStr">
        <is>
          <t>A</t>
        </is>
      </c>
    </row>
    <row r="22">
      <c r="A22" t="inlineStr">
        <is>
          <t>Pojistka ≤ max. pojistka modulu</t>
        </is>
      </c>
      <c r="B22" s="14">
        <f>IF(ISNUMBER($B$21),IF($B$21&lt;=$B$18,"OK","CHYBA"),"CHYBA")</f>
        <v/>
      </c>
      <c r="C22" s="7" t="inlineStr"/>
    </row>
    <row r="23">
      <c r="A23" t="inlineStr">
        <is>
          <t>Pojistky řetězců nutné?</t>
        </is>
      </c>
      <c r="B23" s="14">
        <f>IF(($B$19-1)*$B$17&gt;$B$18,"ANO – (n−1)·Isc &gt; max. pojistka","NE")</f>
        <v/>
      </c>
      <c r="C23" s="7" t="inlineStr"/>
    </row>
    <row r="25">
      <c r="A25" s="3" t="inlineStr">
        <is>
          <t>AC strana střídače</t>
        </is>
      </c>
      <c r="B25" s="4" t="n"/>
      <c r="C25" s="4" t="n"/>
    </row>
    <row r="26">
      <c r="A26" t="inlineStr">
        <is>
          <t>AC výkon střídače</t>
        </is>
      </c>
      <c r="B26" s="6" t="n">
        <v>10</v>
      </c>
      <c r="C26" s="7" t="inlineStr">
        <is>
          <t>kW</t>
        </is>
      </c>
    </row>
    <row r="27">
      <c r="A27" t="inlineStr">
        <is>
          <t>Výstup (1 / 3)</t>
        </is>
      </c>
      <c r="B27" s="6" t="n">
        <v>3</v>
      </c>
      <c r="C27" s="7" t="inlineStr"/>
    </row>
    <row r="28">
      <c r="A28" t="inlineStr">
        <is>
          <t>Jmenovitý AC proud</t>
        </is>
      </c>
      <c r="B28" s="23">
        <f>$B$26*1000/IF($B$27=3,SQRT(3)*400,230)</f>
        <v/>
      </c>
      <c r="C28" s="7" t="inlineStr">
        <is>
          <t>A</t>
        </is>
      </c>
    </row>
    <row r="29">
      <c r="A29" t="inlineStr">
        <is>
          <t>Jistič AC (≥ 1,1·In)</t>
        </is>
      </c>
      <c r="B29" s="18">
        <f>IFERROR(INDEX('Zatížitelnost'!$H$50:$H$69,MATCH(TRUE,INDEX('Zatížitelnost'!$H$50:$H$69&gt;=1.1*$B$28,0),0)),"&gt; 630")</f>
        <v/>
      </c>
      <c r="C29" s="7" t="inlineStr">
        <is>
          <t>A</t>
        </is>
      </c>
    </row>
    <row r="30">
      <c r="A30" t="inlineStr">
        <is>
          <t>Min. průřez Cu (XLPE, uložení C, 30 °C)</t>
        </is>
      </c>
      <c r="B30" s="23">
        <f>IFERROR(INDEX('Zatížitelnost'!$C$29:$N$29,MATCH(TRUE,INDEX(INDEX('Zatížitelnost'!$C$30:$N$45,MATCH("XLPE|C|"&amp;IF($B$27=3,3,2),'Zatížitelnost'!$B$30:$B$45,0),0)&gt;=$B$29,0),0)),"&gt; 120")</f>
        <v/>
      </c>
      <c r="C30" s="7" t="inlineStr">
        <is>
          <t>mm²</t>
        </is>
      </c>
    </row>
    <row r="31">
      <c r="A31" s="21" t="inlineStr">
        <is>
          <t>Orientační. Rozhoduje max. výstupní proud a doporučení výrobce. Úbytek na AC přívodu ověřte zvlášť (≤ 1–2 %).</t>
        </is>
      </c>
    </row>
  </sheetData>
  <conditionalFormatting sqref="B11">
    <cfRule type="expression" priority="1" dxfId="0">
      <formula>ISNUMBER(SEARCH("OK",B11))</formula>
    </cfRule>
    <cfRule type="expression" priority="2" dxfId="1">
      <formula>ISNUMBER(SEARCH("CHYBA",B11))</formula>
    </cfRule>
    <cfRule type="expression" priority="3" dxfId="2">
      <formula>ISNUMBER(SEARCH("POZOR",B11))</formula>
    </cfRule>
  </conditionalFormatting>
  <conditionalFormatting sqref="B22">
    <cfRule type="expression" priority="4" dxfId="0">
      <formula>ISNUMBER(SEARCH("OK",B22))</formula>
    </cfRule>
    <cfRule type="expression" priority="5" dxfId="1">
      <formula>ISNUMBER(SEARCH("CHYBA",B22))</formula>
    </cfRule>
    <cfRule type="expression" priority="6" dxfId="2">
      <formula>ISNUMBER(SEARCH("POZOR",B22))</formula>
    </cfRule>
  </conditionalFormatting>
  <dataValidations count="2">
    <dataValidation sqref="B7" showDropDown="0" showInputMessage="0" showErrorMessage="0" allowBlank="0" type="list">
      <formula1>"2.5,4,6,10,16,25"</formula1>
    </dataValidation>
    <dataValidation sqref="B27" showDropDown="0" showInputMessage="0" showErrorMessage="0" allowBlank="0" type="list">
      <formula1>"1,3"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4" customWidth="1" min="3" max="3"/>
    <col width="3" customWidth="1" min="4" max="4"/>
    <col width="8" customWidth="1" min="5" max="5"/>
    <col width="16" customWidth="1" min="6" max="6"/>
    <col width="16" customWidth="1" min="7" max="7"/>
    <col width="10" customWidth="1" min="8" max="8"/>
  </cols>
  <sheetData>
    <row r="1">
      <c r="A1" s="1" t="inlineStr">
        <is>
          <t>FVE výnos</t>
        </is>
      </c>
    </row>
    <row r="2">
      <c r="A2" s="2" t="inlineStr">
        <is>
          <t>Hrubý odhad (±10–15 %). Pro nabídku použijte PVGIS.</t>
        </is>
      </c>
    </row>
    <row r="4">
      <c r="A4" s="3" t="inlineStr">
        <is>
          <t>Vstupy</t>
        </is>
      </c>
      <c r="B4" s="4" t="n"/>
      <c r="C4" s="4" t="n"/>
      <c r="E4" s="5" t="inlineStr">
        <is>
          <t>Rok</t>
        </is>
      </c>
      <c r="F4" s="5" t="inlineStr">
        <is>
          <t>Úspora</t>
        </is>
      </c>
      <c r="G4" s="5" t="inlineStr">
        <is>
          <t>Kumulativně</t>
        </is>
      </c>
      <c r="H4" s="5" t="inlineStr">
        <is>
          <t>Rok (pom.)</t>
        </is>
      </c>
    </row>
    <row r="5">
      <c r="A5" t="inlineStr">
        <is>
          <t>Instalovaný výkon</t>
        </is>
      </c>
      <c r="B5" s="6" t="n">
        <v>8.800000000000001</v>
      </c>
      <c r="C5" s="7" t="inlineStr">
        <is>
          <t>kWp</t>
        </is>
      </c>
      <c r="E5" s="8" t="n">
        <v>1</v>
      </c>
      <c r="F5" s="25">
        <f>$B$17*(1-$B$9/100)^(1-1)*($B$11/100*$B$12*(1+$B$14/100)^(1-1)+(1-$B$11/100)*$B$13)</f>
        <v/>
      </c>
      <c r="G5" s="25">
        <f>F5</f>
        <v/>
      </c>
      <c r="H5" s="8" t="n">
        <v>1</v>
      </c>
    </row>
    <row r="6">
      <c r="A6" t="inlineStr">
        <is>
          <t>Referenční výnos (optimum)</t>
        </is>
      </c>
      <c r="B6" s="6" t="n">
        <v>1000</v>
      </c>
      <c r="C6" s="7" t="inlineStr">
        <is>
          <t>kWh/kWp</t>
        </is>
      </c>
      <c r="E6" s="8" t="n">
        <v>2</v>
      </c>
      <c r="F6" s="25">
        <f>$B$17*(1-$B$9/100)^(2-1)*($B$11/100*$B$12*(1+$B$14/100)^(2-1)+(1-$B$11/100)*$B$13)</f>
        <v/>
      </c>
      <c r="G6" s="25">
        <f>G5+F6</f>
        <v/>
      </c>
      <c r="H6" s="8" t="n">
        <v>2</v>
      </c>
    </row>
    <row r="7">
      <c r="A7" t="inlineStr">
        <is>
          <t>Orientační součinitel orientace/sklonu</t>
        </is>
      </c>
      <c r="B7" s="6" t="n">
        <v>1</v>
      </c>
      <c r="C7" s="7" t="inlineStr"/>
      <c r="E7" s="8" t="n">
        <v>3</v>
      </c>
      <c r="F7" s="25">
        <f>$B$17*(1-$B$9/100)^(3-1)*($B$11/100*$B$12*(1+$B$14/100)^(3-1)+(1-$B$11/100)*$B$13)</f>
        <v/>
      </c>
      <c r="G7" s="25">
        <f>G6+F7</f>
        <v/>
      </c>
      <c r="H7" s="8" t="n">
        <v>3</v>
      </c>
    </row>
    <row r="8">
      <c r="A8" s="21" t="inlineStr">
        <is>
          <t>1 = J 30–35°, 0,96 = JV/JZ 30°, 0,93 = J plochá 10°, 0,88 = V–Z plochá, 0,86 = V/Z 30°, 0,72 = J fasáda, 0,6 = S 30°</t>
        </is>
      </c>
      <c r="E8" s="8" t="n">
        <v>4</v>
      </c>
      <c r="F8" s="25">
        <f>$B$17*(1-$B$9/100)^(4-1)*($B$11/100*$B$12*(1+$B$14/100)^(4-1)+(1-$B$11/100)*$B$13)</f>
        <v/>
      </c>
      <c r="G8" s="25">
        <f>G7+F8</f>
        <v/>
      </c>
      <c r="H8" s="8" t="n">
        <v>4</v>
      </c>
    </row>
    <row r="9">
      <c r="A9" t="inlineStr">
        <is>
          <t>Degradace / rok</t>
        </is>
      </c>
      <c r="B9" s="6" t="n">
        <v>0.5</v>
      </c>
      <c r="C9" s="7" t="inlineStr">
        <is>
          <t>%</t>
        </is>
      </c>
      <c r="E9" s="8" t="n">
        <v>5</v>
      </c>
      <c r="F9" s="25">
        <f>$B$17*(1-$B$9/100)^(5-1)*($B$11/100*$B$12*(1+$B$14/100)^(5-1)+(1-$B$11/100)*$B$13)</f>
        <v/>
      </c>
      <c r="G9" s="25">
        <f>G8+F9</f>
        <v/>
      </c>
      <c r="H9" s="8" t="n">
        <v>5</v>
      </c>
    </row>
    <row r="10">
      <c r="A10" t="inlineStr">
        <is>
          <t>Investice</t>
        </is>
      </c>
      <c r="B10" s="6" t="n">
        <v>320000</v>
      </c>
      <c r="C10" s="7" t="inlineStr">
        <is>
          <t>Kč/€</t>
        </is>
      </c>
      <c r="E10" s="8" t="n">
        <v>6</v>
      </c>
      <c r="F10" s="25">
        <f>$B$17*(1-$B$9/100)^(6-1)*($B$11/100*$B$12*(1+$B$14/100)^(6-1)+(1-$B$11/100)*$B$13)</f>
        <v/>
      </c>
      <c r="G10" s="25">
        <f>G9+F10</f>
        <v/>
      </c>
      <c r="H10" s="8" t="n">
        <v>6</v>
      </c>
    </row>
    <row r="11">
      <c r="A11" t="inlineStr">
        <is>
          <t>Vlastní spotřeba</t>
        </is>
      </c>
      <c r="B11" s="6" t="n">
        <v>40</v>
      </c>
      <c r="C11" s="7" t="inlineStr">
        <is>
          <t>%</t>
        </is>
      </c>
      <c r="E11" s="8" t="n">
        <v>7</v>
      </c>
      <c r="F11" s="25">
        <f>$B$17*(1-$B$9/100)^(7-1)*($B$11/100*$B$12*(1+$B$14/100)^(7-1)+(1-$B$11/100)*$B$13)</f>
        <v/>
      </c>
      <c r="G11" s="25">
        <f>G10+F11</f>
        <v/>
      </c>
      <c r="H11" s="8" t="n">
        <v>7</v>
      </c>
    </row>
    <row r="12">
      <c r="A12" t="inlineStr">
        <is>
          <t>Cena nákupu</t>
        </is>
      </c>
      <c r="B12" s="6" t="n">
        <v>6.5</v>
      </c>
      <c r="C12" s="7" t="inlineStr">
        <is>
          <t>/kWh</t>
        </is>
      </c>
      <c r="E12" s="8" t="n">
        <v>8</v>
      </c>
      <c r="F12" s="25">
        <f>$B$17*(1-$B$9/100)^(8-1)*($B$11/100*$B$12*(1+$B$14/100)^(8-1)+(1-$B$11/100)*$B$13)</f>
        <v/>
      </c>
      <c r="G12" s="25">
        <f>G11+F12</f>
        <v/>
      </c>
      <c r="H12" s="8" t="n">
        <v>8</v>
      </c>
    </row>
    <row r="13">
      <c r="A13" t="inlineStr">
        <is>
          <t>Výkupní cena</t>
        </is>
      </c>
      <c r="B13" s="6" t="n">
        <v>1.5</v>
      </c>
      <c r="C13" s="7" t="inlineStr">
        <is>
          <t>/kWh</t>
        </is>
      </c>
      <c r="E13" s="8" t="n">
        <v>9</v>
      </c>
      <c r="F13" s="25">
        <f>$B$17*(1-$B$9/100)^(9-1)*($B$11/100*$B$12*(1+$B$14/100)^(9-1)+(1-$B$11/100)*$B$13)</f>
        <v/>
      </c>
      <c r="G13" s="25">
        <f>G12+F13</f>
        <v/>
      </c>
      <c r="H13" s="8" t="n">
        <v>9</v>
      </c>
    </row>
    <row r="14">
      <c r="A14" t="inlineStr">
        <is>
          <t>Růst ceny energie / rok</t>
        </is>
      </c>
      <c r="B14" s="6" t="n">
        <v>3</v>
      </c>
      <c r="C14" s="7" t="inlineStr">
        <is>
          <t>%</t>
        </is>
      </c>
      <c r="E14" s="8" t="n">
        <v>10</v>
      </c>
      <c r="F14" s="25">
        <f>$B$17*(1-$B$9/100)^(10-1)*($B$11/100*$B$12*(1+$B$14/100)^(10-1)+(1-$B$11/100)*$B$13)</f>
        <v/>
      </c>
      <c r="G14" s="25">
        <f>G13+F14</f>
        <v/>
      </c>
      <c r="H14" s="8" t="n">
        <v>10</v>
      </c>
    </row>
    <row r="15">
      <c r="E15" s="8" t="n">
        <v>11</v>
      </c>
      <c r="F15" s="25">
        <f>$B$17*(1-$B$9/100)^(11-1)*($B$11/100*$B$12*(1+$B$14/100)^(11-1)+(1-$B$11/100)*$B$13)</f>
        <v/>
      </c>
      <c r="G15" s="25">
        <f>G14+F15</f>
        <v/>
      </c>
      <c r="H15" s="8" t="n">
        <v>11</v>
      </c>
    </row>
    <row r="16">
      <c r="A16" s="3" t="inlineStr">
        <is>
          <t>Výsledky</t>
        </is>
      </c>
      <c r="B16" s="4" t="n"/>
      <c r="C16" s="4" t="n"/>
      <c r="E16" s="8" t="n">
        <v>12</v>
      </c>
      <c r="F16" s="25">
        <f>$B$17*(1-$B$9/100)^(12-1)*($B$11/100*$B$12*(1+$B$14/100)^(12-1)+(1-$B$11/100)*$B$13)</f>
        <v/>
      </c>
      <c r="G16" s="25">
        <f>G15+F16</f>
        <v/>
      </c>
      <c r="H16" s="8" t="n">
        <v>12</v>
      </c>
    </row>
    <row r="17">
      <c r="A17" t="inlineStr">
        <is>
          <t>Roční výroba (1. rok)</t>
        </is>
      </c>
      <c r="B17" s="26">
        <f>$B$5*$B$6*$B$7</f>
        <v/>
      </c>
      <c r="C17" s="7" t="inlineStr">
        <is>
          <t>kWh</t>
        </is>
      </c>
      <c r="E17" s="8" t="n">
        <v>13</v>
      </c>
      <c r="F17" s="25">
        <f>$B$17*(1-$B$9/100)^(13-1)*($B$11/100*$B$12*(1+$B$14/100)^(13-1)+(1-$B$11/100)*$B$13)</f>
        <v/>
      </c>
      <c r="G17" s="25">
        <f>G16+F17</f>
        <v/>
      </c>
      <c r="H17" s="8" t="n">
        <v>13</v>
      </c>
    </row>
    <row r="18">
      <c r="A18" t="inlineStr">
        <is>
          <t>Měrný výnos</t>
        </is>
      </c>
      <c r="B18" s="27">
        <f>$B$6*$B$7</f>
        <v/>
      </c>
      <c r="C18" s="7" t="inlineStr">
        <is>
          <t>kWh/kWp</t>
        </is>
      </c>
      <c r="E18" s="8" t="n">
        <v>14</v>
      </c>
      <c r="F18" s="25">
        <f>$B$17*(1-$B$9/100)^(14-1)*($B$11/100*$B$12*(1+$B$14/100)^(14-1)+(1-$B$11/100)*$B$13)</f>
        <v/>
      </c>
      <c r="G18" s="25">
        <f>G17+F18</f>
        <v/>
      </c>
      <c r="H18" s="8" t="n">
        <v>14</v>
      </c>
    </row>
    <row r="19">
      <c r="A19" t="inlineStr">
        <is>
          <t>Úspora / příjem 1. rok</t>
        </is>
      </c>
      <c r="B19" s="27">
        <f>F5</f>
        <v/>
      </c>
      <c r="C19" s="7" t="inlineStr"/>
      <c r="E19" s="8" t="n">
        <v>15</v>
      </c>
      <c r="F19" s="25">
        <f>$B$17*(1-$B$9/100)^(15-1)*($B$11/100*$B$12*(1+$B$14/100)^(15-1)+(1-$B$11/100)*$B$13)</f>
        <v/>
      </c>
      <c r="G19" s="25">
        <f>G18+F19</f>
        <v/>
      </c>
      <c r="H19" s="8" t="n">
        <v>15</v>
      </c>
    </row>
    <row r="20">
      <c r="A20" t="inlineStr">
        <is>
          <t>Prostá návratnost</t>
        </is>
      </c>
      <c r="B20" s="23">
        <f>IF($B$19&gt;0,$B$10/$B$19,"–")</f>
        <v/>
      </c>
      <c r="C20" s="7" t="inlineStr">
        <is>
          <t>let</t>
        </is>
      </c>
      <c r="E20" s="8" t="n">
        <v>16</v>
      </c>
      <c r="F20" s="25">
        <f>$B$17*(1-$B$9/100)^(16-1)*($B$11/100*$B$12*(1+$B$14/100)^(16-1)+(1-$B$11/100)*$B$13)</f>
        <v/>
      </c>
      <c r="G20" s="25">
        <f>G19+F20</f>
        <v/>
      </c>
      <c r="H20" s="8" t="n">
        <v>16</v>
      </c>
    </row>
    <row r="21">
      <c r="A21" t="inlineStr">
        <is>
          <t>Návratnost s růstem cen a degradací</t>
        </is>
      </c>
      <c r="B21" s="15">
        <f>IFERROR(INDEX(H5:H44,MATCH(TRUE,INDEX(G5:G44&gt;=$B$10,0),0))-1+($B$10-IFERROR(INDEX(G5:G44,MATCH(TRUE,INDEX(G5:G44&gt;=$B$10,0),0)-1),0))/INDEX(F5:F44,MATCH(TRUE,INDEX(G5:G44&gt;=$B$10,0),0)),"&gt; 40")</f>
        <v/>
      </c>
      <c r="C21" s="7" t="inlineStr">
        <is>
          <t>let</t>
        </is>
      </c>
      <c r="E21" s="8" t="n">
        <v>17</v>
      </c>
      <c r="F21" s="25">
        <f>$B$17*(1-$B$9/100)^(17-1)*($B$11/100*$B$12*(1+$B$14/100)^(17-1)+(1-$B$11/100)*$B$13)</f>
        <v/>
      </c>
      <c r="G21" s="25">
        <f>G20+F21</f>
        <v/>
      </c>
      <c r="H21" s="8" t="n">
        <v>17</v>
      </c>
    </row>
    <row r="22">
      <c r="A22" t="inlineStr">
        <is>
          <t>Celkem za 25 let</t>
        </is>
      </c>
      <c r="B22" s="27">
        <f>SUM(F5:F29)</f>
        <v/>
      </c>
      <c r="C22" s="7" t="inlineStr"/>
      <c r="E22" s="8" t="n">
        <v>18</v>
      </c>
      <c r="F22" s="25">
        <f>$B$17*(1-$B$9/100)^(18-1)*($B$11/100*$B$12*(1+$B$14/100)^(18-1)+(1-$B$11/100)*$B$13)</f>
        <v/>
      </c>
      <c r="G22" s="25">
        <f>G21+F22</f>
        <v/>
      </c>
      <c r="H22" s="8" t="n">
        <v>18</v>
      </c>
    </row>
    <row r="23">
      <c r="E23" s="8" t="n">
        <v>19</v>
      </c>
      <c r="F23" s="25">
        <f>$B$17*(1-$B$9/100)^(19-1)*($B$11/100*$B$12*(1+$B$14/100)^(19-1)+(1-$B$11/100)*$B$13)</f>
        <v/>
      </c>
      <c r="G23" s="25">
        <f>G22+F23</f>
        <v/>
      </c>
      <c r="H23" s="8" t="n">
        <v>19</v>
      </c>
    </row>
    <row r="24">
      <c r="E24" s="8" t="n">
        <v>20</v>
      </c>
      <c r="F24" s="25">
        <f>$B$17*(1-$B$9/100)^(20-1)*($B$11/100*$B$12*(1+$B$14/100)^(20-1)+(1-$B$11/100)*$B$13)</f>
        <v/>
      </c>
      <c r="G24" s="25">
        <f>G23+F24</f>
        <v/>
      </c>
      <c r="H24" s="8" t="n">
        <v>20</v>
      </c>
    </row>
    <row r="25">
      <c r="E25" s="8" t="n">
        <v>21</v>
      </c>
      <c r="F25" s="25">
        <f>$B$17*(1-$B$9/100)^(21-1)*($B$11/100*$B$12*(1+$B$14/100)^(21-1)+(1-$B$11/100)*$B$13)</f>
        <v/>
      </c>
      <c r="G25" s="25">
        <f>G24+F25</f>
        <v/>
      </c>
      <c r="H25" s="8" t="n">
        <v>21</v>
      </c>
    </row>
    <row r="26">
      <c r="E26" s="8" t="n">
        <v>22</v>
      </c>
      <c r="F26" s="25">
        <f>$B$17*(1-$B$9/100)^(22-1)*($B$11/100*$B$12*(1+$B$14/100)^(22-1)+(1-$B$11/100)*$B$13)</f>
        <v/>
      </c>
      <c r="G26" s="25">
        <f>G25+F26</f>
        <v/>
      </c>
      <c r="H26" s="8" t="n">
        <v>22</v>
      </c>
    </row>
    <row r="27">
      <c r="E27" s="8" t="n">
        <v>23</v>
      </c>
      <c r="F27" s="25">
        <f>$B$17*(1-$B$9/100)^(23-1)*($B$11/100*$B$12*(1+$B$14/100)^(23-1)+(1-$B$11/100)*$B$13)</f>
        <v/>
      </c>
      <c r="G27" s="25">
        <f>G26+F27</f>
        <v/>
      </c>
      <c r="H27" s="8" t="n">
        <v>23</v>
      </c>
    </row>
    <row r="28">
      <c r="E28" s="8" t="n">
        <v>24</v>
      </c>
      <c r="F28" s="25">
        <f>$B$17*(1-$B$9/100)^(24-1)*($B$11/100*$B$12*(1+$B$14/100)^(24-1)+(1-$B$11/100)*$B$13)</f>
        <v/>
      </c>
      <c r="G28" s="25">
        <f>G27+F28</f>
        <v/>
      </c>
      <c r="H28" s="8" t="n">
        <v>24</v>
      </c>
    </row>
    <row r="29">
      <c r="E29" s="8" t="n">
        <v>25</v>
      </c>
      <c r="F29" s="25">
        <f>$B$17*(1-$B$9/100)^(25-1)*($B$11/100*$B$12*(1+$B$14/100)^(25-1)+(1-$B$11/100)*$B$13)</f>
        <v/>
      </c>
      <c r="G29" s="25">
        <f>G28+F29</f>
        <v/>
      </c>
      <c r="H29" s="8" t="n">
        <v>25</v>
      </c>
    </row>
    <row r="30">
      <c r="E30" s="8" t="n">
        <v>26</v>
      </c>
      <c r="F30" s="25">
        <f>$B$17*(1-$B$9/100)^(26-1)*($B$11/100*$B$12*(1+$B$14/100)^(26-1)+(1-$B$11/100)*$B$13)</f>
        <v/>
      </c>
      <c r="G30" s="25">
        <f>G29+F30</f>
        <v/>
      </c>
      <c r="H30" s="8" t="n">
        <v>26</v>
      </c>
    </row>
    <row r="31">
      <c r="E31" s="8" t="n">
        <v>27</v>
      </c>
      <c r="F31" s="25">
        <f>$B$17*(1-$B$9/100)^(27-1)*($B$11/100*$B$12*(1+$B$14/100)^(27-1)+(1-$B$11/100)*$B$13)</f>
        <v/>
      </c>
      <c r="G31" s="25">
        <f>G30+F31</f>
        <v/>
      </c>
      <c r="H31" s="8" t="n">
        <v>27</v>
      </c>
    </row>
    <row r="32">
      <c r="E32" s="8" t="n">
        <v>28</v>
      </c>
      <c r="F32" s="25">
        <f>$B$17*(1-$B$9/100)^(28-1)*($B$11/100*$B$12*(1+$B$14/100)^(28-1)+(1-$B$11/100)*$B$13)</f>
        <v/>
      </c>
      <c r="G32" s="25">
        <f>G31+F32</f>
        <v/>
      </c>
      <c r="H32" s="8" t="n">
        <v>28</v>
      </c>
    </row>
    <row r="33">
      <c r="E33" s="8" t="n">
        <v>29</v>
      </c>
      <c r="F33" s="25">
        <f>$B$17*(1-$B$9/100)^(29-1)*($B$11/100*$B$12*(1+$B$14/100)^(29-1)+(1-$B$11/100)*$B$13)</f>
        <v/>
      </c>
      <c r="G33" s="25">
        <f>G32+F33</f>
        <v/>
      </c>
      <c r="H33" s="8" t="n">
        <v>29</v>
      </c>
    </row>
    <row r="34">
      <c r="E34" s="8" t="n">
        <v>30</v>
      </c>
      <c r="F34" s="25">
        <f>$B$17*(1-$B$9/100)^(30-1)*($B$11/100*$B$12*(1+$B$14/100)^(30-1)+(1-$B$11/100)*$B$13)</f>
        <v/>
      </c>
      <c r="G34" s="25">
        <f>G33+F34</f>
        <v/>
      </c>
      <c r="H34" s="8" t="n">
        <v>30</v>
      </c>
    </row>
    <row r="35">
      <c r="E35" s="8" t="n">
        <v>31</v>
      </c>
      <c r="F35" s="25">
        <f>$B$17*(1-$B$9/100)^(31-1)*($B$11/100*$B$12*(1+$B$14/100)^(31-1)+(1-$B$11/100)*$B$13)</f>
        <v/>
      </c>
      <c r="G35" s="25">
        <f>G34+F35</f>
        <v/>
      </c>
      <c r="H35" s="8" t="n">
        <v>31</v>
      </c>
    </row>
    <row r="36">
      <c r="E36" s="8" t="n">
        <v>32</v>
      </c>
      <c r="F36" s="25">
        <f>$B$17*(1-$B$9/100)^(32-1)*($B$11/100*$B$12*(1+$B$14/100)^(32-1)+(1-$B$11/100)*$B$13)</f>
        <v/>
      </c>
      <c r="G36" s="25">
        <f>G35+F36</f>
        <v/>
      </c>
      <c r="H36" s="8" t="n">
        <v>32</v>
      </c>
    </row>
    <row r="37">
      <c r="E37" s="8" t="n">
        <v>33</v>
      </c>
      <c r="F37" s="25">
        <f>$B$17*(1-$B$9/100)^(33-1)*($B$11/100*$B$12*(1+$B$14/100)^(33-1)+(1-$B$11/100)*$B$13)</f>
        <v/>
      </c>
      <c r="G37" s="25">
        <f>G36+F37</f>
        <v/>
      </c>
      <c r="H37" s="8" t="n">
        <v>33</v>
      </c>
    </row>
    <row r="38">
      <c r="E38" s="8" t="n">
        <v>34</v>
      </c>
      <c r="F38" s="25">
        <f>$B$17*(1-$B$9/100)^(34-1)*($B$11/100*$B$12*(1+$B$14/100)^(34-1)+(1-$B$11/100)*$B$13)</f>
        <v/>
      </c>
      <c r="G38" s="25">
        <f>G37+F38</f>
        <v/>
      </c>
      <c r="H38" s="8" t="n">
        <v>34</v>
      </c>
    </row>
    <row r="39">
      <c r="E39" s="8" t="n">
        <v>35</v>
      </c>
      <c r="F39" s="25">
        <f>$B$17*(1-$B$9/100)^(35-1)*($B$11/100*$B$12*(1+$B$14/100)^(35-1)+(1-$B$11/100)*$B$13)</f>
        <v/>
      </c>
      <c r="G39" s="25">
        <f>G38+F39</f>
        <v/>
      </c>
      <c r="H39" s="8" t="n">
        <v>35</v>
      </c>
    </row>
    <row r="40">
      <c r="E40" s="8" t="n">
        <v>36</v>
      </c>
      <c r="F40" s="25">
        <f>$B$17*(1-$B$9/100)^(36-1)*($B$11/100*$B$12*(1+$B$14/100)^(36-1)+(1-$B$11/100)*$B$13)</f>
        <v/>
      </c>
      <c r="G40" s="25">
        <f>G39+F40</f>
        <v/>
      </c>
      <c r="H40" s="8" t="n">
        <v>36</v>
      </c>
    </row>
    <row r="41">
      <c r="E41" s="8" t="n">
        <v>37</v>
      </c>
      <c r="F41" s="25">
        <f>$B$17*(1-$B$9/100)^(37-1)*($B$11/100*$B$12*(1+$B$14/100)^(37-1)+(1-$B$11/100)*$B$13)</f>
        <v/>
      </c>
      <c r="G41" s="25">
        <f>G40+F41</f>
        <v/>
      </c>
      <c r="H41" s="8" t="n">
        <v>37</v>
      </c>
    </row>
    <row r="42">
      <c r="E42" s="8" t="n">
        <v>38</v>
      </c>
      <c r="F42" s="25">
        <f>$B$17*(1-$B$9/100)^(38-1)*($B$11/100*$B$12*(1+$B$14/100)^(38-1)+(1-$B$11/100)*$B$13)</f>
        <v/>
      </c>
      <c r="G42" s="25">
        <f>G41+F42</f>
        <v/>
      </c>
      <c r="H42" s="8" t="n">
        <v>38</v>
      </c>
    </row>
    <row r="43">
      <c r="E43" s="8" t="n">
        <v>39</v>
      </c>
      <c r="F43" s="25">
        <f>$B$17*(1-$B$9/100)^(39-1)*($B$11/100*$B$12*(1+$B$14/100)^(39-1)+(1-$B$11/100)*$B$13)</f>
        <v/>
      </c>
      <c r="G43" s="25">
        <f>G42+F43</f>
        <v/>
      </c>
      <c r="H43" s="8" t="n">
        <v>39</v>
      </c>
    </row>
    <row r="44">
      <c r="E44" s="8" t="n">
        <v>40</v>
      </c>
      <c r="F44" s="25">
        <f>$B$17*(1-$B$9/100)^(40-1)*($B$11/100*$B$12*(1+$B$14/100)^(40-1)+(1-$B$11/100)*$B$13)</f>
        <v/>
      </c>
      <c r="G44" s="25">
        <f>G43+F44</f>
        <v/>
      </c>
      <c r="H44" s="8" t="n">
        <v>40</v>
      </c>
    </row>
  </sheetData>
  <dataValidations count="1">
    <dataValidation sqref="B7" showDropDown="0" showInputMessage="0" showErrorMessage="0" allowBlank="0" type="list">
      <formula1>"1,0.96,0.93,0.88,0.86,0.72,0.6"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</cols>
  <sheetData>
    <row r="1">
      <c r="A1" s="1" t="inlineStr">
        <is>
          <t>FVE baterie a řady</t>
        </is>
      </c>
    </row>
    <row r="3">
      <c r="A3" s="3" t="inlineStr">
        <is>
          <t>Velikost baterie</t>
        </is>
      </c>
      <c r="B3" s="4" t="n"/>
      <c r="C3" s="4" t="n"/>
    </row>
    <row r="4">
      <c r="A4" t="inlineStr">
        <is>
          <t>Energie z baterie / den</t>
        </is>
      </c>
      <c r="B4" s="6" t="n">
        <v>8</v>
      </c>
      <c r="C4" s="7" t="inlineStr">
        <is>
          <t>kWh</t>
        </is>
      </c>
    </row>
    <row r="5">
      <c r="A5" t="inlineStr">
        <is>
          <t>Dnů autonomie</t>
        </is>
      </c>
      <c r="B5" s="6" t="n">
        <v>1</v>
      </c>
      <c r="C5" s="7" t="inlineStr"/>
    </row>
    <row r="6">
      <c r="A6" t="inlineStr">
        <is>
          <t>Využitelná hloubka vybití</t>
        </is>
      </c>
      <c r="B6" s="6" t="n">
        <v>90</v>
      </c>
      <c r="C6" s="7" t="inlineStr">
        <is>
          <t>%</t>
        </is>
      </c>
    </row>
    <row r="7">
      <c r="A7" t="inlineStr">
        <is>
          <t>Účinnost cyklu</t>
        </is>
      </c>
      <c r="B7" s="6" t="n">
        <v>92</v>
      </c>
      <c r="C7" s="7" t="inlineStr">
        <is>
          <t>%</t>
        </is>
      </c>
    </row>
    <row r="8">
      <c r="A8" t="inlineStr">
        <is>
          <t>Špičkový odběr z baterie</t>
        </is>
      </c>
      <c r="B8" s="6" t="n">
        <v>5</v>
      </c>
      <c r="C8" s="7" t="inlineStr">
        <is>
          <t>kW</t>
        </is>
      </c>
    </row>
    <row r="9">
      <c r="A9" t="inlineStr">
        <is>
          <t>Napětí baterie</t>
        </is>
      </c>
      <c r="B9" s="6" t="n">
        <v>51.2</v>
      </c>
      <c r="C9" s="7" t="inlineStr">
        <is>
          <t>V</t>
        </is>
      </c>
    </row>
    <row r="10">
      <c r="A10" t="inlineStr">
        <is>
          <t>Využitelná kapacita</t>
        </is>
      </c>
      <c r="B10" s="11">
        <f>$B$4*$B$5</f>
        <v/>
      </c>
      <c r="C10" s="7" t="inlineStr">
        <is>
          <t>kWh</t>
        </is>
      </c>
    </row>
    <row r="11">
      <c r="A11" t="inlineStr">
        <is>
          <t>Jmenovitá kapacita baterie</t>
        </is>
      </c>
      <c r="B11" s="13">
        <f>$B$4*$B$5/($B$6/100*$B$7/100)</f>
        <v/>
      </c>
      <c r="C11" s="7" t="inlineStr">
        <is>
          <t>kWh</t>
        </is>
      </c>
    </row>
    <row r="12">
      <c r="A12" t="inlineStr">
        <is>
          <t>Proud při špičce</t>
        </is>
      </c>
      <c r="B12" s="10">
        <f>$B$8*1000/$B$9</f>
        <v/>
      </c>
      <c r="C12" s="7" t="inlineStr">
        <is>
          <t>A</t>
        </is>
      </c>
    </row>
    <row r="13">
      <c r="A13" t="inlineStr">
        <is>
          <t>C-rate při špičce</t>
        </is>
      </c>
      <c r="B13" s="11">
        <f>$B$8/$B$11</f>
        <v/>
      </c>
      <c r="C13" s="7" t="inlineStr">
        <is>
          <t>C</t>
        </is>
      </c>
    </row>
    <row r="14">
      <c r="A14" s="21" t="inlineStr">
        <is>
          <t>Pravidlo palce: 1–1,5 kWh na 1 kWp pro rodinný dům (zvýšení vlastní spotřeby).</t>
        </is>
      </c>
    </row>
    <row r="16">
      <c r="A16" s="3" t="inlineStr">
        <is>
          <t>Rozestup řad (plochá střecha)</t>
        </is>
      </c>
      <c r="B16" s="4" t="n"/>
      <c r="C16" s="4" t="n"/>
    </row>
    <row r="17">
      <c r="A17" t="inlineStr">
        <is>
          <t>Zeměpisná šířka φ</t>
        </is>
      </c>
      <c r="B17" s="6" t="n">
        <v>49.5</v>
      </c>
      <c r="C17" s="7" t="inlineStr">
        <is>
          <t>°</t>
        </is>
      </c>
    </row>
    <row r="18">
      <c r="A18" t="inlineStr">
        <is>
          <t>Délka panelu ve spádu</t>
        </is>
      </c>
      <c r="B18" s="6" t="n">
        <v>1.76</v>
      </c>
      <c r="C18" s="7" t="inlineStr">
        <is>
          <t>m</t>
        </is>
      </c>
    </row>
    <row r="19">
      <c r="A19" t="inlineStr">
        <is>
          <t>Sklon β</t>
        </is>
      </c>
      <c r="B19" s="6" t="n">
        <v>15</v>
      </c>
      <c r="C19" s="7" t="inlineStr">
        <is>
          <t>°</t>
        </is>
      </c>
    </row>
    <row r="20">
      <c r="A20" t="inlineStr">
        <is>
          <t>Výška Slunce 21. 12. v poledne</t>
        </is>
      </c>
      <c r="B20" s="23">
        <f>90-$B$17-23.44</f>
        <v/>
      </c>
      <c r="C20" s="7" t="inlineStr">
        <is>
          <t>°</t>
        </is>
      </c>
    </row>
    <row r="21">
      <c r="A21" t="inlineStr">
        <is>
          <t>Výška hrany panelu</t>
        </is>
      </c>
      <c r="B21" s="11">
        <f>$B$18*SIN(RADIANS($B$19))</f>
        <v/>
      </c>
      <c r="C21" s="7" t="inlineStr">
        <is>
          <t>m</t>
        </is>
      </c>
    </row>
    <row r="22">
      <c r="A22" t="inlineStr">
        <is>
          <t>Rozteč řad (hrana–hrana)</t>
        </is>
      </c>
      <c r="B22" s="13">
        <f>IF($B$20&gt;0,$B$18*COS(RADIANS($B$19))+$B$21/TAN(RADIANS($B$20)),"nelze")</f>
        <v/>
      </c>
      <c r="C22" s="7" t="inlineStr">
        <is>
          <t>m</t>
        </is>
      </c>
    </row>
    <row r="23">
      <c r="A23" t="inlineStr">
        <is>
          <t>Mezera mezi řadami</t>
        </is>
      </c>
      <c r="B23" s="11">
        <f>IF($B$20&gt;0,$B$21/TAN(RADIANS($B$20)),"nelze")</f>
        <v/>
      </c>
      <c r="C23" s="7" t="inlineStr">
        <is>
          <t>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</cols>
  <sheetData>
    <row r="1">
      <c r="A1" s="1" t="inlineStr">
        <is>
          <t>MaR škálování</t>
        </is>
      </c>
    </row>
    <row r="2">
      <c r="A2" s="2" t="inlineStr">
        <is>
          <t>Signál ↔ fyzikální hodnota (lineární)</t>
        </is>
      </c>
    </row>
    <row r="4">
      <c r="A4" t="inlineStr">
        <is>
          <t>Signál od</t>
        </is>
      </c>
      <c r="B4" s="6" t="n">
        <v>4</v>
      </c>
      <c r="C4" s="7" t="inlineStr">
        <is>
          <t>mA / V</t>
        </is>
      </c>
    </row>
    <row r="5">
      <c r="A5" t="inlineStr">
        <is>
          <t>Signál do</t>
        </is>
      </c>
      <c r="B5" s="6" t="n">
        <v>20</v>
      </c>
      <c r="C5" s="7" t="inlineStr">
        <is>
          <t>mA / V</t>
        </is>
      </c>
    </row>
    <row r="6">
      <c r="A6" t="inlineStr">
        <is>
          <t>Rozsah veličiny od</t>
        </is>
      </c>
      <c r="B6" s="6" t="n">
        <v>0</v>
      </c>
      <c r="C6" s="7" t="inlineStr"/>
    </row>
    <row r="7">
      <c r="A7" t="inlineStr">
        <is>
          <t>Rozsah veličiny do</t>
        </is>
      </c>
      <c r="B7" s="6" t="n">
        <v>10</v>
      </c>
      <c r="C7" s="7" t="inlineStr">
        <is>
          <t>bar</t>
        </is>
      </c>
    </row>
    <row r="9">
      <c r="A9" s="3" t="inlineStr">
        <is>
          <t>Signál → hodnota</t>
        </is>
      </c>
      <c r="B9" s="4" t="n"/>
      <c r="C9" s="4" t="n"/>
    </row>
    <row r="10">
      <c r="A10" t="inlineStr">
        <is>
          <t>Signál</t>
        </is>
      </c>
      <c r="B10" s="6" t="n">
        <v>12</v>
      </c>
      <c r="C10" s="7" t="inlineStr">
        <is>
          <t>mA / V</t>
        </is>
      </c>
    </row>
    <row r="11">
      <c r="A11" t="inlineStr">
        <is>
          <t>Hodnota</t>
        </is>
      </c>
      <c r="B11" s="20">
        <f>$B$6+($B$10-$B$4)/($B$5-$B$4)*($B$7-$B$6)</f>
        <v/>
      </c>
      <c r="C11" s="7" t="inlineStr"/>
    </row>
    <row r="12">
      <c r="A12" t="inlineStr">
        <is>
          <t>% rozsahu</t>
        </is>
      </c>
      <c r="B12" s="23">
        <f>($B$10-$B$4)/($B$5-$B$4)*100</f>
        <v/>
      </c>
      <c r="C12" s="7" t="inlineStr">
        <is>
          <t>%</t>
        </is>
      </c>
    </row>
    <row r="13">
      <c r="A13" t="inlineStr">
        <is>
          <t>Siemens normalizované (0–27648)</t>
        </is>
      </c>
      <c r="B13" s="10">
        <f>ROUND($B$10/$B$5*27648,0)</f>
        <v/>
      </c>
      <c r="C13" s="7" t="inlineStr"/>
    </row>
    <row r="14">
      <c r="A14" t="inlineStr">
        <is>
          <t>12bit ADC (0–4095)</t>
        </is>
      </c>
      <c r="B14" s="10">
        <f>ROUND($B$10/$B$5*4095,0)</f>
        <v/>
      </c>
      <c r="C14" s="7" t="inlineStr"/>
    </row>
    <row r="15">
      <c r="A15" t="inlineStr">
        <is>
          <t>Stav 4–20 mA (NE43)</t>
        </is>
      </c>
      <c r="B15" s="14">
        <f>IF($B$4&lt;&gt;4,"–",IF($B$10&lt;3.8,"CHYBA – porucha / přerušení",IF($B$10&gt;20.5,"CHYBA – přetížení","OK")))</f>
        <v/>
      </c>
      <c r="C15" s="7" t="inlineStr"/>
    </row>
    <row r="17">
      <c r="A17" s="3" t="inlineStr">
        <is>
          <t>Hodnota → signál</t>
        </is>
      </c>
      <c r="B17" s="4" t="n"/>
      <c r="C17" s="4" t="n"/>
    </row>
    <row r="18">
      <c r="A18" t="inlineStr">
        <is>
          <t>Hodnota</t>
        </is>
      </c>
      <c r="B18" s="6" t="n">
        <v>5</v>
      </c>
      <c r="C18" s="7" t="inlineStr"/>
    </row>
    <row r="19">
      <c r="A19" t="inlineStr">
        <is>
          <t>Signál</t>
        </is>
      </c>
      <c r="B19" s="20">
        <f>$B$4+($B$18-$B$6)/($B$7-$B$6)*($B$5-$B$4)</f>
        <v/>
      </c>
      <c r="C19" s="7" t="inlineStr">
        <is>
          <t>mA / V</t>
        </is>
      </c>
    </row>
  </sheetData>
  <conditionalFormatting sqref="B15">
    <cfRule type="expression" priority="1" dxfId="0">
      <formula>ISNUMBER(SEARCH("OK",B15))</formula>
    </cfRule>
    <cfRule type="expression" priority="2" dxfId="1">
      <formula>ISNUMBER(SEARCH("CHYBA",B15))</formula>
    </cfRule>
    <cfRule type="expression" priority="3" dxfId="2">
      <formula>ISNUMBER(SEARCH("POZOR",B15))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4" customWidth="1" min="3" max="3"/>
    <col width="3" customWidth="1" min="4" max="4"/>
    <col width="10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MaR čidla</t>
        </is>
      </c>
    </row>
    <row r="2">
      <c r="A2" s="2" t="inlineStr">
        <is>
          <t>Pt100/Pt1000: EN 60751 (Callendar–Van Dusen). Ni1000 DIN 43760. NTC: rovnice β.</t>
        </is>
      </c>
    </row>
    <row r="4">
      <c r="A4" s="3" t="inlineStr">
        <is>
          <t>Pt100 / Pt1000</t>
        </is>
      </c>
      <c r="B4" s="4" t="n"/>
      <c r="C4" s="4" t="n"/>
      <c r="E4" s="5" t="inlineStr">
        <is>
          <t>°C</t>
        </is>
      </c>
      <c r="F4" s="5" t="inlineStr">
        <is>
          <t>Pt100 Ω</t>
        </is>
      </c>
      <c r="G4" s="5" t="inlineStr">
        <is>
          <t>Pt1000 Ω</t>
        </is>
      </c>
      <c r="H4" s="5" t="inlineStr">
        <is>
          <t>Ni1000 Ω</t>
        </is>
      </c>
    </row>
    <row r="5">
      <c r="A5" t="inlineStr">
        <is>
          <t>R0 (100 = Pt100, 1000 = Pt1000)</t>
        </is>
      </c>
      <c r="B5" s="6" t="n">
        <v>1000</v>
      </c>
      <c r="C5" s="7" t="inlineStr">
        <is>
          <t>Ω</t>
        </is>
      </c>
      <c r="E5" s="8" t="n">
        <v>-50</v>
      </c>
      <c r="F5" s="9">
        <f>IF(E5&gt;=0,100*(1+0.0039083*E5+-5.775e-07*E5^2),100*(1+0.0039083*E5+-5.775e-07*E5^2+-4.183e-12*(E5-100)*E5^3))</f>
        <v/>
      </c>
      <c r="G5" s="16">
        <f>F5*10</f>
        <v/>
      </c>
      <c r="H5" s="16">
        <f>1000*(1+5.485E-3*E5+6.65E-6*E5^2+2.805E-11*E5^4-2E-17*E5^6)</f>
        <v/>
      </c>
    </row>
    <row r="6">
      <c r="A6" t="inlineStr">
        <is>
          <t>Teplota</t>
        </is>
      </c>
      <c r="B6" s="6" t="n">
        <v>20</v>
      </c>
      <c r="C6" s="7" t="inlineStr">
        <is>
          <t>°C</t>
        </is>
      </c>
      <c r="E6" s="8" t="n">
        <v>-40</v>
      </c>
      <c r="F6" s="9">
        <f>IF(E6&gt;=0,100*(1+0.0039083*E6+-5.775e-07*E6^2),100*(1+0.0039083*E6+-5.775e-07*E6^2+-4.183e-12*(E6-100)*E6^3))</f>
        <v/>
      </c>
      <c r="G6" s="16">
        <f>F6*10</f>
        <v/>
      </c>
      <c r="H6" s="16">
        <f>1000*(1+5.485E-3*E6+6.65E-6*E6^2+2.805E-11*E6^4-2E-17*E6^6)</f>
        <v/>
      </c>
    </row>
    <row r="7">
      <c r="A7" t="inlineStr">
        <is>
          <t>Odpor R(T)</t>
        </is>
      </c>
      <c r="B7" s="20">
        <f>IF($B$6&gt;=0,$B$5*(1+0.0039083*$B$6+-5.775e-07*$B$6^2),$B$5*(1+0.0039083*$B$6+-5.775e-07*$B$6^2+-4.183e-12*($B$6-100)*$B$6^3))</f>
        <v/>
      </c>
      <c r="C7" s="7" t="inlineStr">
        <is>
          <t>Ω</t>
        </is>
      </c>
      <c r="E7" s="8" t="n">
        <v>-30</v>
      </c>
      <c r="F7" s="9">
        <f>IF(E7&gt;=0,100*(1+0.0039083*E7+-5.775e-07*E7^2),100*(1+0.0039083*E7+-5.775e-07*E7^2+-4.183e-12*(E7-100)*E7^3))</f>
        <v/>
      </c>
      <c r="G7" s="16">
        <f>F7*10</f>
        <v/>
      </c>
      <c r="H7" s="16">
        <f>1000*(1+5.485E-3*E7+6.65E-6*E7^2+2.805E-11*E7^4-2E-17*E7^6)</f>
        <v/>
      </c>
    </row>
    <row r="8">
      <c r="A8" t="inlineStr">
        <is>
          <t>Citlivost</t>
        </is>
      </c>
      <c r="B8" s="17">
        <f>$B$5*(0.0039083+2*-5.775e-07*$B$6)</f>
        <v/>
      </c>
      <c r="C8" s="7" t="inlineStr">
        <is>
          <t>Ω/K</t>
        </is>
      </c>
      <c r="E8" s="8" t="n">
        <v>-20</v>
      </c>
      <c r="F8" s="9">
        <f>IF(E8&gt;=0,100*(1+0.0039083*E8+-5.775e-07*E8^2),100*(1+0.0039083*E8+-5.775e-07*E8^2+-4.183e-12*(E8-100)*E8^3))</f>
        <v/>
      </c>
      <c r="G8" s="16">
        <f>F8*10</f>
        <v/>
      </c>
      <c r="H8" s="16">
        <f>1000*(1+5.485E-3*E8+6.65E-6*E8^2+2.805E-11*E8^4-2E-17*E8^6)</f>
        <v/>
      </c>
    </row>
    <row r="9">
      <c r="A9" t="inlineStr">
        <is>
          <t>Tolerance třída A</t>
        </is>
      </c>
      <c r="B9" s="11">
        <f>0.15+0.002*ABS($B$6)</f>
        <v/>
      </c>
      <c r="C9" s="7" t="inlineStr">
        <is>
          <t>± K</t>
        </is>
      </c>
      <c r="E9" s="8" t="n">
        <v>-10</v>
      </c>
      <c r="F9" s="9">
        <f>IF(E9&gt;=0,100*(1+0.0039083*E9+-5.775e-07*E9^2),100*(1+0.0039083*E9+-5.775e-07*E9^2+-4.183e-12*(E9-100)*E9^3))</f>
        <v/>
      </c>
      <c r="G9" s="16">
        <f>F9*10</f>
        <v/>
      </c>
      <c r="H9" s="16">
        <f>1000*(1+5.485E-3*E9+6.65E-6*E9^2+2.805E-11*E9^4-2E-17*E9^6)</f>
        <v/>
      </c>
    </row>
    <row r="10">
      <c r="A10" t="inlineStr">
        <is>
          <t>Tolerance třída B</t>
        </is>
      </c>
      <c r="B10" s="11">
        <f>0.3+0.005*ABS($B$6)</f>
        <v/>
      </c>
      <c r="C10" s="7" t="inlineStr">
        <is>
          <t>± K</t>
        </is>
      </c>
      <c r="E10" s="8" t="n">
        <v>0</v>
      </c>
      <c r="F10" s="9">
        <f>IF(E10&gt;=0,100*(1+0.0039083*E10+-5.775e-07*E10^2),100*(1+0.0039083*E10+-5.775e-07*E10^2+-4.183e-12*(E10-100)*E10^3))</f>
        <v/>
      </c>
      <c r="G10" s="16">
        <f>F10*10</f>
        <v/>
      </c>
      <c r="H10" s="16">
        <f>1000*(1+5.485E-3*E10+6.65E-6*E10^2+2.805E-11*E10^4-2E-17*E10^6)</f>
        <v/>
      </c>
    </row>
    <row r="11">
      <c r="E11" s="8" t="n">
        <v>10</v>
      </c>
      <c r="F11" s="9">
        <f>IF(E11&gt;=0,100*(1+0.0039083*E11+-5.775e-07*E11^2),100*(1+0.0039083*E11+-5.775e-07*E11^2+-4.183e-12*(E11-100)*E11^3))</f>
        <v/>
      </c>
      <c r="G11" s="16">
        <f>F11*10</f>
        <v/>
      </c>
      <c r="H11" s="16">
        <f>1000*(1+5.485E-3*E11+6.65E-6*E11^2+2.805E-11*E11^4-2E-17*E11^6)</f>
        <v/>
      </c>
    </row>
    <row r="12">
      <c r="A12" s="3" t="inlineStr">
        <is>
          <t>Odpor → teplota (Newtonova metoda, 4 kroky)</t>
        </is>
      </c>
      <c r="B12" s="4" t="n"/>
      <c r="C12" s="4" t="n"/>
      <c r="E12" s="8" t="n">
        <v>20</v>
      </c>
      <c r="F12" s="9">
        <f>IF(E12&gt;=0,100*(1+0.0039083*E12+-5.775e-07*E12^2),100*(1+0.0039083*E12+-5.775e-07*E12^2+-4.183e-12*(E12-100)*E12^3))</f>
        <v/>
      </c>
      <c r="G12" s="16">
        <f>F12*10</f>
        <v/>
      </c>
      <c r="H12" s="16">
        <f>1000*(1+5.485E-3*E12+6.65E-6*E12^2+2.805E-11*E12^4-2E-17*E12^6)</f>
        <v/>
      </c>
    </row>
    <row r="13">
      <c r="A13" t="inlineStr">
        <is>
          <t>Naměřený odpor</t>
        </is>
      </c>
      <c r="B13" s="6" t="n">
        <v>1077.935</v>
      </c>
      <c r="C13" s="7" t="inlineStr">
        <is>
          <t>Ω</t>
        </is>
      </c>
      <c r="E13" s="8" t="n">
        <v>30</v>
      </c>
      <c r="F13" s="9">
        <f>IF(E13&gt;=0,100*(1+0.0039083*E13+-5.775e-07*E13^2),100*(1+0.0039083*E13+-5.775e-07*E13^2+-4.183e-12*(E13-100)*E13^3))</f>
        <v/>
      </c>
      <c r="G13" s="16">
        <f>F13*10</f>
        <v/>
      </c>
      <c r="H13" s="16">
        <f>1000*(1+5.485E-3*E13+6.65E-6*E13^2+2.805E-11*E13^4-2E-17*E13^6)</f>
        <v/>
      </c>
    </row>
    <row r="14">
      <c r="A14" t="inlineStr">
        <is>
          <t>Krok 0</t>
        </is>
      </c>
      <c r="B14" s="17">
        <f>($B$13/$B$5-1)/0.0039083</f>
        <v/>
      </c>
      <c r="C14" s="7" t="inlineStr">
        <is>
          <t>°C</t>
        </is>
      </c>
      <c r="E14" s="8" t="n">
        <v>40</v>
      </c>
      <c r="F14" s="9">
        <f>IF(E14&gt;=0,100*(1+0.0039083*E14+-5.775e-07*E14^2),100*(1+0.0039083*E14+-5.775e-07*E14^2+-4.183e-12*(E14-100)*E14^3))</f>
        <v/>
      </c>
      <c r="G14" s="16">
        <f>F14*10</f>
        <v/>
      </c>
      <c r="H14" s="16">
        <f>1000*(1+5.485E-3*E14+6.65E-6*E14^2+2.805E-11*E14^4-2E-17*E14^6)</f>
        <v/>
      </c>
    </row>
    <row r="15">
      <c r="A15" t="inlineStr">
        <is>
          <t>Krok 1</t>
        </is>
      </c>
      <c r="B15" s="17">
        <f>$B$14-(IF($B$14&gt;=0,$B$5*(1+0.0039083*$B$14+-5.775e-07*$B$14^2),$B$5*(1+0.0039083*$B$14+-5.775e-07*$B$14^2+-4.183e-12*($B$14-100)*$B$14^3))-$B$13)/($B$5*(0.0039083+2*-5.775e-07*$B$14+IF($B$14&lt;0,-4.183e-12*(4*$B$14^3-300*$B$14^2),0)))</f>
        <v/>
      </c>
      <c r="C15" s="7" t="inlineStr">
        <is>
          <t>°C</t>
        </is>
      </c>
      <c r="E15" s="8" t="n">
        <v>50</v>
      </c>
      <c r="F15" s="9">
        <f>IF(E15&gt;=0,100*(1+0.0039083*E15+-5.775e-07*E15^2),100*(1+0.0039083*E15+-5.775e-07*E15^2+-4.183e-12*(E15-100)*E15^3))</f>
        <v/>
      </c>
      <c r="G15" s="16">
        <f>F15*10</f>
        <v/>
      </c>
      <c r="H15" s="16">
        <f>1000*(1+5.485E-3*E15+6.65E-6*E15^2+2.805E-11*E15^4-2E-17*E15^6)</f>
        <v/>
      </c>
    </row>
    <row r="16">
      <c r="A16" t="inlineStr">
        <is>
          <t>Krok 2</t>
        </is>
      </c>
      <c r="B16" s="17">
        <f>$B$15-(IF($B$15&gt;=0,$B$5*(1+0.0039083*$B$15+-5.775e-07*$B$15^2),$B$5*(1+0.0039083*$B$15+-5.775e-07*$B$15^2+-4.183e-12*($B$15-100)*$B$15^3))-$B$13)/($B$5*(0.0039083+2*-5.775e-07*$B$15+IF($B$15&lt;0,-4.183e-12*(4*$B$15^3-300*$B$15^2),0)))</f>
        <v/>
      </c>
      <c r="C16" s="7" t="inlineStr">
        <is>
          <t>°C</t>
        </is>
      </c>
      <c r="E16" s="8" t="n">
        <v>60</v>
      </c>
      <c r="F16" s="9">
        <f>IF(E16&gt;=0,100*(1+0.0039083*E16+-5.775e-07*E16^2),100*(1+0.0039083*E16+-5.775e-07*E16^2+-4.183e-12*(E16-100)*E16^3))</f>
        <v/>
      </c>
      <c r="G16" s="16">
        <f>F16*10</f>
        <v/>
      </c>
      <c r="H16" s="16">
        <f>1000*(1+5.485E-3*E16+6.65E-6*E16^2+2.805E-11*E16^4-2E-17*E16^6)</f>
        <v/>
      </c>
    </row>
    <row r="17">
      <c r="A17" t="inlineStr">
        <is>
          <t>Krok 3</t>
        </is>
      </c>
      <c r="B17" s="17">
        <f>$B$16-(IF($B$16&gt;=0,$B$5*(1+0.0039083*$B$16+-5.775e-07*$B$16^2),$B$5*(1+0.0039083*$B$16+-5.775e-07*$B$16^2+-4.183e-12*($B$16-100)*$B$16^3))-$B$13)/($B$5*(0.0039083+2*-5.775e-07*$B$16+IF($B$16&lt;0,-4.183e-12*(4*$B$16^3-300*$B$16^2),0)))</f>
        <v/>
      </c>
      <c r="C17" s="7" t="inlineStr">
        <is>
          <t>°C</t>
        </is>
      </c>
      <c r="E17" s="8" t="n">
        <v>70</v>
      </c>
      <c r="F17" s="9">
        <f>IF(E17&gt;=0,100*(1+0.0039083*E17+-5.775e-07*E17^2),100*(1+0.0039083*E17+-5.775e-07*E17^2+-4.183e-12*(E17-100)*E17^3))</f>
        <v/>
      </c>
      <c r="G17" s="16">
        <f>F17*10</f>
        <v/>
      </c>
      <c r="H17" s="16">
        <f>1000*(1+5.485E-3*E17+6.65E-6*E17^2+2.805E-11*E17^4-2E-17*E17^6)</f>
        <v/>
      </c>
    </row>
    <row r="18">
      <c r="A18" t="inlineStr">
        <is>
          <t>Teplota</t>
        </is>
      </c>
      <c r="B18" s="13">
        <f>$B$17-(IF($B$17&gt;=0,$B$5*(1+0.0039083*$B$17+-5.775e-07*$B$17^2),$B$5*(1+0.0039083*$B$17+-5.775e-07*$B$17^2+-4.183e-12*($B$17-100)*$B$17^3))-$B$13)/($B$5*(0.0039083+2*-5.775e-07*$B$17+IF($B$17&lt;0,-4.183e-12*(4*$B$17^3-300*$B$17^2),0)))</f>
        <v/>
      </c>
      <c r="C18" s="7" t="inlineStr">
        <is>
          <t>°C</t>
        </is>
      </c>
      <c r="E18" s="8" t="n">
        <v>80</v>
      </c>
      <c r="F18" s="9">
        <f>IF(E18&gt;=0,100*(1+0.0039083*E18+-5.775e-07*E18^2),100*(1+0.0039083*E18+-5.775e-07*E18^2+-4.183e-12*(E18-100)*E18^3))</f>
        <v/>
      </c>
      <c r="G18" s="16">
        <f>F18*10</f>
        <v/>
      </c>
      <c r="H18" s="16">
        <f>1000*(1+5.485E-3*E18+6.65E-6*E18^2+2.805E-11*E18^4-2E-17*E18^6)</f>
        <v/>
      </c>
    </row>
    <row r="19">
      <c r="E19" s="8" t="n">
        <v>90</v>
      </c>
      <c r="F19" s="9">
        <f>IF(E19&gt;=0,100*(1+0.0039083*E19+-5.775e-07*E19^2),100*(1+0.0039083*E19+-5.775e-07*E19^2+-4.183e-12*(E19-100)*E19^3))</f>
        <v/>
      </c>
      <c r="G19" s="16">
        <f>F19*10</f>
        <v/>
      </c>
      <c r="H19" s="16">
        <f>1000*(1+5.485E-3*E19+6.65E-6*E19^2+2.805E-11*E19^4-2E-17*E19^6)</f>
        <v/>
      </c>
    </row>
    <row r="20">
      <c r="A20" s="3" t="inlineStr">
        <is>
          <t>NTC (β)</t>
        </is>
      </c>
      <c r="B20" s="4" t="n"/>
      <c r="C20" s="4" t="n"/>
      <c r="E20" s="8" t="n">
        <v>100</v>
      </c>
      <c r="F20" s="9">
        <f>IF(E20&gt;=0,100*(1+0.0039083*E20+-5.775e-07*E20^2),100*(1+0.0039083*E20+-5.775e-07*E20^2+-4.183e-12*(E20-100)*E20^3))</f>
        <v/>
      </c>
      <c r="G20" s="16">
        <f>F20*10</f>
        <v/>
      </c>
      <c r="H20" s="16">
        <f>1000*(1+5.485E-3*E20+6.65E-6*E20^2+2.805E-11*E20^4-2E-17*E20^6)</f>
        <v/>
      </c>
    </row>
    <row r="21">
      <c r="A21" t="inlineStr">
        <is>
          <t>β</t>
        </is>
      </c>
      <c r="B21" s="6" t="n">
        <v>3950</v>
      </c>
      <c r="C21" s="7" t="inlineStr">
        <is>
          <t>K</t>
        </is>
      </c>
      <c r="E21" s="8" t="n">
        <v>110</v>
      </c>
      <c r="F21" s="9">
        <f>IF(E21&gt;=0,100*(1+0.0039083*E21+-5.775e-07*E21^2),100*(1+0.0039083*E21+-5.775e-07*E21^2+-4.183e-12*(E21-100)*E21^3))</f>
        <v/>
      </c>
      <c r="G21" s="16">
        <f>F21*10</f>
        <v/>
      </c>
      <c r="H21" s="16">
        <f>1000*(1+5.485E-3*E21+6.65E-6*E21^2+2.805E-11*E21^4-2E-17*E21^6)</f>
        <v/>
      </c>
    </row>
    <row r="22">
      <c r="A22" t="inlineStr">
        <is>
          <t>R25</t>
        </is>
      </c>
      <c r="B22" s="6" t="n">
        <v>10000</v>
      </c>
      <c r="C22" s="7" t="inlineStr">
        <is>
          <t>Ω</t>
        </is>
      </c>
      <c r="E22" s="8" t="n">
        <v>120</v>
      </c>
      <c r="F22" s="9">
        <f>IF(E22&gt;=0,100*(1+0.0039083*E22+-5.775e-07*E22^2),100*(1+0.0039083*E22+-5.775e-07*E22^2+-4.183e-12*(E22-100)*E22^3))</f>
        <v/>
      </c>
      <c r="G22" s="16">
        <f>F22*10</f>
        <v/>
      </c>
      <c r="H22" s="16">
        <f>1000*(1+5.485E-3*E22+6.65E-6*E22^2+2.805E-11*E22^4-2E-17*E22^6)</f>
        <v/>
      </c>
    </row>
    <row r="23">
      <c r="A23" t="inlineStr">
        <is>
          <t>Teplota</t>
        </is>
      </c>
      <c r="B23" s="6" t="n">
        <v>25</v>
      </c>
      <c r="C23" s="7" t="inlineStr">
        <is>
          <t>°C</t>
        </is>
      </c>
      <c r="E23" s="8" t="n">
        <v>130</v>
      </c>
      <c r="F23" s="9">
        <f>IF(E23&gt;=0,100*(1+0.0039083*E23+-5.775e-07*E23^2),100*(1+0.0039083*E23+-5.775e-07*E23^2+-4.183e-12*(E23-100)*E23^3))</f>
        <v/>
      </c>
      <c r="G23" s="16">
        <f>F23*10</f>
        <v/>
      </c>
      <c r="H23" s="16">
        <f>1000*(1+5.485E-3*E23+6.65E-6*E23^2+2.805E-11*E23^4-2E-17*E23^6)</f>
        <v/>
      </c>
    </row>
    <row r="24">
      <c r="A24" t="inlineStr">
        <is>
          <t>Odpor</t>
        </is>
      </c>
      <c r="B24" s="15">
        <f>$B$22*EXP($B$21*(1/($B$23+273.15)-1/298.15))</f>
        <v/>
      </c>
      <c r="C24" s="7" t="inlineStr">
        <is>
          <t>Ω</t>
        </is>
      </c>
      <c r="E24" s="8" t="n">
        <v>140</v>
      </c>
      <c r="F24" s="9">
        <f>IF(E24&gt;=0,100*(1+0.0039083*E24+-5.775e-07*E24^2),100*(1+0.0039083*E24+-5.775e-07*E24^2+-4.183e-12*(E24-100)*E24^3))</f>
        <v/>
      </c>
      <c r="G24" s="16">
        <f>F24*10</f>
        <v/>
      </c>
      <c r="H24" s="16">
        <f>1000*(1+5.485E-3*E24+6.65E-6*E24^2+2.805E-11*E24^4-2E-17*E24^6)</f>
        <v/>
      </c>
    </row>
    <row r="25">
      <c r="A25" t="inlineStr">
        <is>
          <t>Naměřený odpor NTC</t>
        </is>
      </c>
      <c r="B25" s="6" t="n">
        <v>10000</v>
      </c>
      <c r="C25" s="7" t="inlineStr">
        <is>
          <t>Ω</t>
        </is>
      </c>
      <c r="E25" s="8" t="n">
        <v>150</v>
      </c>
      <c r="F25" s="9">
        <f>IF(E25&gt;=0,100*(1+0.0039083*E25+-5.775e-07*E25^2),100*(1+0.0039083*E25+-5.775e-07*E25^2+-4.183e-12*(E25-100)*E25^3))</f>
        <v/>
      </c>
      <c r="G25" s="16">
        <f>F25*10</f>
        <v/>
      </c>
      <c r="H25" s="16">
        <f>1000*(1+5.485E-3*E25+6.65E-6*E25^2+2.805E-11*E25^4-2E-17*E25^6)</f>
        <v/>
      </c>
    </row>
    <row r="26">
      <c r="A26" t="inlineStr">
        <is>
          <t>Teplota z odporu</t>
        </is>
      </c>
      <c r="B26" s="13">
        <f>1/(1/298.15+LN($B$25/$B$22)/$B$21)-273.15</f>
        <v/>
      </c>
      <c r="C26" s="7" t="inlineStr">
        <is>
          <t>°C</t>
        </is>
      </c>
      <c r="E26" s="8" t="n">
        <v>160</v>
      </c>
      <c r="F26" s="9">
        <f>IF(E26&gt;=0,100*(1+0.0039083*E26+-5.775e-07*E26^2),100*(1+0.0039083*E26+-5.775e-07*E26^2+-4.183e-12*(E26-100)*E26^3))</f>
        <v/>
      </c>
      <c r="G26" s="16">
        <f>F26*10</f>
        <v/>
      </c>
      <c r="H26" s="16">
        <f>1000*(1+5.485E-3*E26+6.65E-6*E26^2+2.805E-11*E26^4-2E-17*E26^6)</f>
        <v/>
      </c>
    </row>
    <row r="27">
      <c r="E27" s="8" t="n">
        <v>170</v>
      </c>
      <c r="F27" s="9">
        <f>IF(E27&gt;=0,100*(1+0.0039083*E27+-5.775e-07*E27^2),100*(1+0.0039083*E27+-5.775e-07*E27^2+-4.183e-12*(E27-100)*E27^3))</f>
        <v/>
      </c>
      <c r="G27" s="16">
        <f>F27*10</f>
        <v/>
      </c>
      <c r="H27" s="16">
        <f>1000*(1+5.485E-3*E27+6.65E-6*E27^2+2.805E-11*E27^4-2E-17*E27^6)</f>
        <v/>
      </c>
    </row>
    <row r="28">
      <c r="A28" s="3" t="inlineStr">
        <is>
          <t>Chyba dvouvodičového čidla</t>
        </is>
      </c>
      <c r="B28" s="4" t="n"/>
      <c r="C28" s="4" t="n"/>
      <c r="E28" s="8" t="n">
        <v>180</v>
      </c>
      <c r="F28" s="9">
        <f>IF(E28&gt;=0,100*(1+0.0039083*E28+-5.775e-07*E28^2),100*(1+0.0039083*E28+-5.775e-07*E28^2+-4.183e-12*(E28-100)*E28^3))</f>
        <v/>
      </c>
      <c r="G28" s="16">
        <f>F28*10</f>
        <v/>
      </c>
      <c r="H28" s="16">
        <f>1000*(1+5.485E-3*E28+6.65E-6*E28^2+2.805E-11*E28^4-2E-17*E28^6)</f>
        <v/>
      </c>
    </row>
    <row r="29">
      <c r="A29" t="inlineStr">
        <is>
          <t>Délka kabelu</t>
        </is>
      </c>
      <c r="B29" s="6" t="n">
        <v>30</v>
      </c>
      <c r="C29" s="7" t="inlineStr">
        <is>
          <t>m</t>
        </is>
      </c>
      <c r="E29" s="8" t="n">
        <v>190</v>
      </c>
      <c r="F29" s="9">
        <f>IF(E29&gt;=0,100*(1+0.0039083*E29+-5.775e-07*E29^2),100*(1+0.0039083*E29+-5.775e-07*E29^2+-4.183e-12*(E29-100)*E29^3))</f>
        <v/>
      </c>
      <c r="G29" s="16">
        <f>F29*10</f>
        <v/>
      </c>
      <c r="H29" s="16">
        <f>1000*(1+5.485E-3*E29+6.65E-6*E29^2+2.805E-11*E29^4-2E-17*E29^6)</f>
        <v/>
      </c>
    </row>
    <row r="30">
      <c r="A30" t="inlineStr">
        <is>
          <t>Průřez vodiče</t>
        </is>
      </c>
      <c r="B30" s="6" t="n">
        <v>0.5</v>
      </c>
      <c r="C30" s="7" t="inlineStr">
        <is>
          <t>mm²</t>
        </is>
      </c>
      <c r="E30" s="8" t="n">
        <v>200</v>
      </c>
      <c r="F30" s="9">
        <f>IF(E30&gt;=0,100*(1+0.0039083*E30+-5.775e-07*E30^2),100*(1+0.0039083*E30+-5.775e-07*E30^2+-4.183e-12*(E30-100)*E30^3))</f>
        <v/>
      </c>
      <c r="G30" s="16">
        <f>F30*10</f>
        <v/>
      </c>
      <c r="H30" s="16">
        <f>1000*(1+5.485E-3*E30+6.65E-6*E30^2+2.805E-11*E30^4-2E-17*E30^6)</f>
        <v/>
      </c>
    </row>
    <row r="31">
      <c r="A31" t="inlineStr">
        <is>
          <t>R0 čidla (100 / 1000)</t>
        </is>
      </c>
      <c r="B31" s="6" t="n">
        <v>100</v>
      </c>
      <c r="C31" s="7" t="inlineStr">
        <is>
          <t>Ω</t>
        </is>
      </c>
      <c r="E31" s="8" t="n">
        <v>210</v>
      </c>
      <c r="F31" s="9">
        <f>IF(E31&gt;=0,100*(1+0.0039083*E31+-5.775e-07*E31^2),100*(1+0.0039083*E31+-5.775e-07*E31^2+-4.183e-12*(E31-100)*E31^3))</f>
        <v/>
      </c>
      <c r="G31" s="16">
        <f>F31*10</f>
        <v/>
      </c>
      <c r="H31" s="16">
        <f>1000*(1+5.485E-3*E31+6.65E-6*E31^2+2.805E-11*E31^4-2E-17*E31^6)</f>
        <v/>
      </c>
    </row>
    <row r="32">
      <c r="A32" t="inlineStr">
        <is>
          <t>Teplota měření</t>
        </is>
      </c>
      <c r="B32" s="6" t="n">
        <v>20</v>
      </c>
      <c r="C32" s="7" t="inlineStr">
        <is>
          <t>°C</t>
        </is>
      </c>
      <c r="E32" s="8" t="n">
        <v>220</v>
      </c>
      <c r="F32" s="9">
        <f>IF(E32&gt;=0,100*(1+0.0039083*E32+-5.775e-07*E32^2),100*(1+0.0039083*E32+-5.775e-07*E32^2+-4.183e-12*(E32-100)*E32^3))</f>
        <v/>
      </c>
      <c r="G32" s="16">
        <f>F32*10</f>
        <v/>
      </c>
      <c r="H32" s="16">
        <f>1000*(1+5.485E-3*E32+6.65E-6*E32^2+2.805E-11*E32^4-2E-17*E32^6)</f>
        <v/>
      </c>
    </row>
    <row r="33">
      <c r="A33" t="inlineStr">
        <is>
          <t>Odpor smyčky kabelu</t>
        </is>
      </c>
      <c r="B33" s="17">
        <f>2*(1/56)*$B$29/$B$30</f>
        <v/>
      </c>
      <c r="C33" s="7" t="inlineStr">
        <is>
          <t>Ω</t>
        </is>
      </c>
      <c r="E33" s="8" t="n">
        <v>230</v>
      </c>
      <c r="F33" s="9">
        <f>IF(E33&gt;=0,100*(1+0.0039083*E33+-5.775e-07*E33^2),100*(1+0.0039083*E33+-5.775e-07*E33^2+-4.183e-12*(E33-100)*E33^3))</f>
        <v/>
      </c>
      <c r="G33" s="16">
        <f>F33*10</f>
        <v/>
      </c>
      <c r="H33" s="16">
        <f>1000*(1+5.485E-3*E33+6.65E-6*E33^2+2.805E-11*E33^4-2E-17*E33^6)</f>
        <v/>
      </c>
    </row>
    <row r="34">
      <c r="A34" t="inlineStr">
        <is>
          <t>Chyba měření</t>
        </is>
      </c>
      <c r="B34" s="13">
        <f>$B$33/($B$31*(0.0039083+2*-5.775e-07*$B$32))</f>
        <v/>
      </c>
      <c r="C34" s="7" t="inlineStr">
        <is>
          <t>K</t>
        </is>
      </c>
      <c r="E34" s="8" t="n">
        <v>240</v>
      </c>
      <c r="F34" s="9">
        <f>IF(E34&gt;=0,100*(1+0.0039083*E34+-5.775e-07*E34^2),100*(1+0.0039083*E34+-5.775e-07*E34^2+-4.183e-12*(E34-100)*E34^3))</f>
        <v/>
      </c>
      <c r="G34" s="16">
        <f>F34*10</f>
        <v/>
      </c>
      <c r="H34" s="16">
        <f>1000*(1+5.485E-3*E34+6.65E-6*E34^2+2.805E-11*E34^4-2E-17*E34^6)</f>
        <v/>
      </c>
    </row>
    <row r="35">
      <c r="A35" s="21" t="inlineStr">
        <is>
          <t>Chyba je kladná. Řešení: 3/4-vodič nebo kompenzace R kabelu v PLC. Pt1000 má 10× menší chybu.</t>
        </is>
      </c>
      <c r="E35" s="8" t="n">
        <v>250</v>
      </c>
      <c r="F35" s="9">
        <f>IF(E35&gt;=0,100*(1+0.0039083*E35+-5.775e-07*E35^2),100*(1+0.0039083*E35+-5.775e-07*E35^2+-4.183e-12*(E35-100)*E35^3))</f>
        <v/>
      </c>
      <c r="G35" s="16">
        <f>F35*10</f>
        <v/>
      </c>
      <c r="H35" s="16">
        <f>1000*(1+5.485E-3*E35+6.65E-6*E35^2+2.805E-11*E35^4-2E-17*E35^6)</f>
        <v/>
      </c>
    </row>
  </sheetData>
  <dataValidations count="2">
    <dataValidation sqref="B5" showDropDown="0" showInputMessage="0" showErrorMessage="0" allowBlank="0" type="list">
      <formula1>"100,1000"</formula1>
    </dataValidation>
    <dataValidation sqref="B31" showDropDown="0" showInputMessage="0" showErrorMessage="0" allowBlank="0" type="list">
      <formula1>"100,1000"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</cols>
  <sheetData>
    <row r="1">
      <c r="A1" s="1" t="inlineStr">
        <is>
          <t>MaR regulace a hydraulika</t>
        </is>
      </c>
    </row>
    <row r="3">
      <c r="A3" s="3" t="inlineStr">
        <is>
          <t>Proudová smyčka 4–20 mA — rozpočet napětí</t>
        </is>
      </c>
      <c r="B3" s="4" t="n"/>
      <c r="C3" s="4" t="n"/>
    </row>
    <row r="4">
      <c r="A4" t="inlineStr">
        <is>
          <t>Napájení smyčky</t>
        </is>
      </c>
      <c r="B4" s="6" t="n">
        <v>24</v>
      </c>
      <c r="C4" s="7" t="inlineStr">
        <is>
          <t>V</t>
        </is>
      </c>
    </row>
    <row r="5">
      <c r="A5" t="inlineStr">
        <is>
          <t>Min. napětí vysílače</t>
        </is>
      </c>
      <c r="B5" s="6" t="n">
        <v>12</v>
      </c>
      <c r="C5" s="7" t="inlineStr">
        <is>
          <t>V</t>
        </is>
      </c>
    </row>
    <row r="6">
      <c r="A6" t="inlineStr">
        <is>
          <t>Zátěž (vstup PLC, indikátory)</t>
        </is>
      </c>
      <c r="B6" s="6" t="n">
        <v>250</v>
      </c>
      <c r="C6" s="7" t="inlineStr">
        <is>
          <t>Ω</t>
        </is>
      </c>
    </row>
    <row r="7">
      <c r="A7" t="inlineStr">
        <is>
          <t>Délka kabelu (jednosměrně)</t>
        </is>
      </c>
      <c r="B7" s="6" t="n">
        <v>200</v>
      </c>
      <c r="C7" s="7" t="inlineStr">
        <is>
          <t>m</t>
        </is>
      </c>
    </row>
    <row r="8">
      <c r="A8" t="inlineStr">
        <is>
          <t>Průřez vodiče</t>
        </is>
      </c>
      <c r="B8" s="6" t="n">
        <v>0.5</v>
      </c>
      <c r="C8" s="7" t="inlineStr">
        <is>
          <t>mm²</t>
        </is>
      </c>
    </row>
    <row r="9">
      <c r="A9" t="inlineStr">
        <is>
          <t>Odpor kabelu (tam a zpět)</t>
        </is>
      </c>
      <c r="B9" s="23">
        <f>2*(1/56)*$B$7/$B$8</f>
        <v/>
      </c>
      <c r="C9" s="7" t="inlineStr">
        <is>
          <t>Ω</t>
        </is>
      </c>
    </row>
    <row r="10">
      <c r="A10" t="inlineStr">
        <is>
          <t>Max. celkový odpor smyčky (22 mA)</t>
        </is>
      </c>
      <c r="B10" s="10">
        <f>($B$4-$B$5)/0.022</f>
        <v/>
      </c>
      <c r="C10" s="7" t="inlineStr">
        <is>
          <t>Ω</t>
        </is>
      </c>
    </row>
    <row r="11">
      <c r="A11" t="inlineStr">
        <is>
          <t>Rezerva</t>
        </is>
      </c>
      <c r="B11" s="18">
        <f>$B$10-$B$6-$B$9</f>
        <v/>
      </c>
      <c r="C11" s="7" t="inlineStr">
        <is>
          <t>Ω</t>
        </is>
      </c>
    </row>
    <row r="12">
      <c r="A12" t="inlineStr">
        <is>
          <t>Napětí na vysílači při 22 mA</t>
        </is>
      </c>
      <c r="B12" s="11">
        <f>$B$4-0.022*($B$6+$B$9)</f>
        <v/>
      </c>
      <c r="C12" s="7" t="inlineStr">
        <is>
          <t>V</t>
        </is>
      </c>
    </row>
    <row r="13">
      <c r="A13" t="inlineStr">
        <is>
          <t>Hodnocení</t>
        </is>
      </c>
      <c r="B13" s="14">
        <f>IF($B$4-0.022*($B$6+$B$9)&gt;=$B$5,"OK","CHYBA – nedostatečné napájení")</f>
        <v/>
      </c>
      <c r="C13" s="7" t="inlineStr"/>
    </row>
    <row r="15">
      <c r="A15" s="3" t="inlineStr">
        <is>
          <t>PID — Ziegler–Nichols (metoda kmitů)</t>
        </is>
      </c>
      <c r="B15" s="4" t="n"/>
      <c r="C15" s="4" t="n"/>
    </row>
    <row r="16">
      <c r="A16" t="inlineStr">
        <is>
          <t>Ku (kritické zesílení)</t>
        </is>
      </c>
      <c r="B16" s="6" t="n">
        <v>2.4</v>
      </c>
      <c r="C16" s="7" t="inlineStr"/>
    </row>
    <row r="17">
      <c r="A17" t="inlineStr">
        <is>
          <t>Tu (perioda kmitů)</t>
        </is>
      </c>
      <c r="B17" s="6" t="n">
        <v>60</v>
      </c>
      <c r="C17" s="7" t="inlineStr">
        <is>
          <t>s</t>
        </is>
      </c>
    </row>
    <row r="18">
      <c r="A18" t="inlineStr">
        <is>
          <t>P: Kp</t>
        </is>
      </c>
      <c r="B18" s="17">
        <f>0.5*$B$16</f>
        <v/>
      </c>
      <c r="C18" s="7" t="inlineStr"/>
    </row>
    <row r="19">
      <c r="A19" t="inlineStr">
        <is>
          <t>PI: Kp</t>
        </is>
      </c>
      <c r="B19" s="17">
        <f>0.45*$B$16</f>
        <v/>
      </c>
      <c r="C19" s="7" t="inlineStr"/>
    </row>
    <row r="20">
      <c r="A20" t="inlineStr">
        <is>
          <t>PI: Ti</t>
        </is>
      </c>
      <c r="B20" s="23">
        <f>$B$17/1.2</f>
        <v/>
      </c>
      <c r="C20" s="7" t="inlineStr">
        <is>
          <t>s</t>
        </is>
      </c>
    </row>
    <row r="21">
      <c r="A21" t="inlineStr">
        <is>
          <t>PID: Kp</t>
        </is>
      </c>
      <c r="B21" s="20">
        <f>0.6*$B$16</f>
        <v/>
      </c>
      <c r="C21" s="7" t="inlineStr"/>
    </row>
    <row r="22">
      <c r="A22" t="inlineStr">
        <is>
          <t>PID: Ti</t>
        </is>
      </c>
      <c r="B22" s="15">
        <f>0.5*$B$17</f>
        <v/>
      </c>
      <c r="C22" s="7" t="inlineStr">
        <is>
          <t>s</t>
        </is>
      </c>
    </row>
    <row r="23">
      <c r="A23" t="inlineStr">
        <is>
          <t>PID: Td</t>
        </is>
      </c>
      <c r="B23" s="15">
        <f>0.125*$B$17</f>
        <v/>
      </c>
      <c r="C23" s="7" t="inlineStr">
        <is>
          <t>s</t>
        </is>
      </c>
    </row>
    <row r="25">
      <c r="A25" s="3" t="inlineStr">
        <is>
          <t>PID — Ziegler–Nichols (přechodová charakteristika)</t>
        </is>
      </c>
      <c r="B25" s="4" t="n"/>
      <c r="C25" s="4" t="n"/>
    </row>
    <row r="26">
      <c r="A26" t="inlineStr">
        <is>
          <t>K (zisk soustavy)</t>
        </is>
      </c>
      <c r="B26" s="6" t="n">
        <v>2.4</v>
      </c>
      <c r="C26" s="7" t="inlineStr"/>
    </row>
    <row r="27">
      <c r="A27" t="inlineStr">
        <is>
          <t>L (dopravní zpoždění)</t>
        </is>
      </c>
      <c r="B27" s="6" t="n">
        <v>60</v>
      </c>
      <c r="C27" s="7" t="inlineStr">
        <is>
          <t>s</t>
        </is>
      </c>
    </row>
    <row r="28">
      <c r="A28" t="inlineStr">
        <is>
          <t>T (časová konstanta)</t>
        </is>
      </c>
      <c r="B28" s="6" t="n">
        <v>300</v>
      </c>
      <c r="C28" s="7" t="inlineStr">
        <is>
          <t>s</t>
        </is>
      </c>
    </row>
    <row r="29">
      <c r="A29" t="inlineStr">
        <is>
          <t>P: Kp</t>
        </is>
      </c>
      <c r="B29" s="17">
        <f>$B$28/($B$26*$B$27)</f>
        <v/>
      </c>
      <c r="C29" s="7" t="inlineStr"/>
    </row>
    <row r="30">
      <c r="A30" t="inlineStr">
        <is>
          <t>PI: Kp</t>
        </is>
      </c>
      <c r="B30" s="17">
        <f>0.9*$B$28/($B$26*$B$27)</f>
        <v/>
      </c>
      <c r="C30" s="7" t="inlineStr"/>
    </row>
    <row r="31">
      <c r="A31" t="inlineStr">
        <is>
          <t>PI: Ti</t>
        </is>
      </c>
      <c r="B31" s="23">
        <f>3.33*$B$27</f>
        <v/>
      </c>
      <c r="C31" s="7" t="inlineStr">
        <is>
          <t>s</t>
        </is>
      </c>
    </row>
    <row r="32">
      <c r="A32" t="inlineStr">
        <is>
          <t>PID: Kp</t>
        </is>
      </c>
      <c r="B32" s="20">
        <f>1.2*$B$28/($B$26*$B$27)</f>
        <v/>
      </c>
      <c r="C32" s="7" t="inlineStr"/>
    </row>
    <row r="33">
      <c r="A33" t="inlineStr">
        <is>
          <t>PID: Ti</t>
        </is>
      </c>
      <c r="B33" s="15">
        <f>2*$B$27</f>
        <v/>
      </c>
      <c r="C33" s="7" t="inlineStr">
        <is>
          <t>s</t>
        </is>
      </c>
    </row>
    <row r="34">
      <c r="A34" t="inlineStr">
        <is>
          <t>PID: Td</t>
        </is>
      </c>
      <c r="B34" s="15">
        <f>0.5*$B$27</f>
        <v/>
      </c>
      <c r="C34" s="7" t="inlineStr">
        <is>
          <t>s</t>
        </is>
      </c>
    </row>
    <row r="35">
      <c r="A35" s="21" t="inlineStr">
        <is>
          <t>U pomalých soustav (VZT, topení) začněte s Kp o 30–50 % nižším.</t>
        </is>
      </c>
    </row>
    <row r="37">
      <c r="A37" s="3" t="inlineStr">
        <is>
          <t>Výkon ↔ průtok (voda)</t>
        </is>
      </c>
      <c r="B37" s="4" t="n"/>
      <c r="C37" s="4" t="n"/>
    </row>
    <row r="38">
      <c r="A38" t="inlineStr">
        <is>
          <t>Výkon</t>
        </is>
      </c>
      <c r="B38" s="6" t="n">
        <v>20</v>
      </c>
      <c r="C38" s="7" t="inlineStr">
        <is>
          <t>kW</t>
        </is>
      </c>
    </row>
    <row r="39">
      <c r="A39" t="inlineStr">
        <is>
          <t>Rozdíl teplot ΔT</t>
        </is>
      </c>
      <c r="B39" s="6" t="n">
        <v>10</v>
      </c>
      <c r="C39" s="7" t="inlineStr">
        <is>
          <t>K</t>
        </is>
      </c>
    </row>
    <row r="40">
      <c r="A40" t="inlineStr">
        <is>
          <t>Vnitřní průměr trubky</t>
        </is>
      </c>
      <c r="B40" s="6" t="n">
        <v>26</v>
      </c>
      <c r="C40" s="7" t="inlineStr">
        <is>
          <t>mm</t>
        </is>
      </c>
    </row>
    <row r="41">
      <c r="A41" t="inlineStr">
        <is>
          <t>Průtok</t>
        </is>
      </c>
      <c r="B41" s="20">
        <f>$B$38/(1.163*$B$39)</f>
        <v/>
      </c>
      <c r="C41" s="7" t="inlineStr">
        <is>
          <t>m³/h</t>
        </is>
      </c>
    </row>
    <row r="42">
      <c r="A42" t="inlineStr">
        <is>
          <t>Průtok</t>
        </is>
      </c>
      <c r="B42" s="27">
        <f>$B$41*1000</f>
        <v/>
      </c>
      <c r="C42" s="7" t="inlineStr">
        <is>
          <t>l/h</t>
        </is>
      </c>
    </row>
    <row r="43">
      <c r="A43" t="inlineStr">
        <is>
          <t>Rychlost v potrubí</t>
        </is>
      </c>
      <c r="B43" s="11">
        <f>($B$41/3600)/(PI()/4*($B$40/1000)^2)</f>
        <v/>
      </c>
      <c r="C43" s="7" t="inlineStr">
        <is>
          <t>m/s</t>
        </is>
      </c>
    </row>
    <row r="44">
      <c r="A44" t="inlineStr">
        <is>
          <t>Hodnocení rychlosti</t>
        </is>
      </c>
      <c r="B44" s="14">
        <f>IF($B$41/3600/(PI()/4*($B$40/1000)^2)&lt;=1,"OK",IF($B$41/3600/(PI()/4*($B$40/1000)^2)&lt;=1.5,"POZOR – vyšší","CHYBA – příliš vysoká"))</f>
        <v/>
      </c>
      <c r="C44" s="7" t="inlineStr"/>
    </row>
    <row r="46">
      <c r="A46" s="3" t="inlineStr">
        <is>
          <t>Ventil — Kv a autorita</t>
        </is>
      </c>
      <c r="B46" s="4" t="n"/>
      <c r="C46" s="4" t="n"/>
    </row>
    <row r="47">
      <c r="A47" t="inlineStr">
        <is>
          <t>Průtok Q</t>
        </is>
      </c>
      <c r="B47" s="6" t="n">
        <v>1.72</v>
      </c>
      <c r="C47" s="7" t="inlineStr">
        <is>
          <t>m³/h</t>
        </is>
      </c>
    </row>
    <row r="48">
      <c r="A48" t="inlineStr">
        <is>
          <t>Tlaková ztráta ventilu Δp</t>
        </is>
      </c>
      <c r="B48" s="6" t="n">
        <v>10</v>
      </c>
      <c r="C48" s="7" t="inlineStr">
        <is>
          <t>kPa</t>
        </is>
      </c>
    </row>
    <row r="49">
      <c r="A49" t="inlineStr">
        <is>
          <t>Tlaková ztráta zbytku okruhu</t>
        </is>
      </c>
      <c r="B49" s="6" t="n">
        <v>20</v>
      </c>
      <c r="C49" s="7" t="inlineStr">
        <is>
          <t>kPa</t>
        </is>
      </c>
    </row>
    <row r="50">
      <c r="A50" t="inlineStr">
        <is>
          <t>Potřebné Kv</t>
        </is>
      </c>
      <c r="B50" s="13">
        <f>$B$47/SQRT($B$48/100)</f>
        <v/>
      </c>
      <c r="C50" s="7" t="inlineStr">
        <is>
          <t>m³/h</t>
        </is>
      </c>
    </row>
    <row r="51">
      <c r="A51" t="inlineStr">
        <is>
          <t>Autorita β</t>
        </is>
      </c>
      <c r="B51" s="11">
        <f>$B$48/($B$48+$B$49)</f>
        <v/>
      </c>
      <c r="C51" s="7" t="inlineStr"/>
    </row>
    <row r="52">
      <c r="A52" t="inlineStr">
        <is>
          <t>Hodnocení</t>
        </is>
      </c>
      <c r="B52" s="14">
        <f>IF($B$51&gt;=0.3,"OK","POZOR – nízká autorita (&lt; 0,3)")</f>
        <v/>
      </c>
      <c r="C52" s="7" t="inlineStr"/>
    </row>
  </sheetData>
  <conditionalFormatting sqref="B13">
    <cfRule type="expression" priority="1" dxfId="0">
      <formula>ISNUMBER(SEARCH("OK",B13))</formula>
    </cfRule>
    <cfRule type="expression" priority="2" dxfId="1">
      <formula>ISNUMBER(SEARCH("CHYBA",B13))</formula>
    </cfRule>
    <cfRule type="expression" priority="3" dxfId="2">
      <formula>ISNUMBER(SEARCH("POZOR",B13))</formula>
    </cfRule>
  </conditionalFormatting>
  <conditionalFormatting sqref="B44">
    <cfRule type="expression" priority="4" dxfId="0">
      <formula>ISNUMBER(SEARCH("OK",B44))</formula>
    </cfRule>
    <cfRule type="expression" priority="5" dxfId="1">
      <formula>ISNUMBER(SEARCH("CHYBA",B44))</formula>
    </cfRule>
    <cfRule type="expression" priority="6" dxfId="2">
      <formula>ISNUMBER(SEARCH("POZOR",B44))</formula>
    </cfRule>
  </conditionalFormatting>
  <conditionalFormatting sqref="B52">
    <cfRule type="expression" priority="7" dxfId="0">
      <formula>ISNUMBER(SEARCH("OK",B52))</formula>
    </cfRule>
    <cfRule type="expression" priority="8" dxfId="1">
      <formula>ISNUMBER(SEARCH("CHYBA",B52))</formula>
    </cfRule>
    <cfRule type="expression" priority="9" dxfId="2">
      <formula>ISNUMBER(SEARCH("POZOR",B52))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18" customWidth="1" min="3" max="3"/>
    <col width="24" customWidth="1" min="4" max="4"/>
    <col width="44" customWidth="1" min="5" max="5"/>
    <col width="14" customWidth="1" min="6" max="6"/>
  </cols>
  <sheetData>
    <row r="1">
      <c r="A1" s="1" t="inlineStr">
        <is>
          <t>Tabulky</t>
        </is>
      </c>
    </row>
    <row r="3">
      <c r="A3" s="5" t="inlineStr">
        <is>
          <t>Vodič</t>
        </is>
      </c>
      <c r="B3" s="5" t="inlineStr">
        <is>
          <t>Barva</t>
        </is>
      </c>
      <c r="D3" s="5" t="inlineStr">
        <is>
          <t>Norma</t>
        </is>
      </c>
      <c r="E3" s="5" t="inlineStr">
        <is>
          <t>Název</t>
        </is>
      </c>
    </row>
    <row r="4">
      <c r="A4" s="8" t="inlineStr">
        <is>
          <t>PE</t>
        </is>
      </c>
      <c r="B4" s="8" t="inlineStr">
        <is>
          <t>zeleno-žlutá</t>
        </is>
      </c>
      <c r="D4" s="8" t="inlineStr">
        <is>
          <t>ČSN 33 2000-4-41</t>
        </is>
      </c>
      <c r="E4" s="8" t="inlineStr">
        <is>
          <t>Ochrana před úrazem elektrickým proudem</t>
        </is>
      </c>
    </row>
    <row r="5">
      <c r="A5" s="8" t="inlineStr">
        <is>
          <t>N</t>
        </is>
      </c>
      <c r="B5" s="8" t="inlineStr">
        <is>
          <t>světle modrá</t>
        </is>
      </c>
      <c r="D5" s="8" t="inlineStr">
        <is>
          <t>ČSN 33 2000-4-43</t>
        </is>
      </c>
      <c r="E5" s="8" t="inlineStr">
        <is>
          <t>Ochrana proti nadproudům</t>
        </is>
      </c>
    </row>
    <row r="6">
      <c r="A6" s="8" t="inlineStr">
        <is>
          <t>PEN</t>
        </is>
      </c>
      <c r="B6" s="8" t="inlineStr">
        <is>
          <t>zeleno-žlutá, konce světle modré</t>
        </is>
      </c>
      <c r="D6" s="8" t="inlineStr">
        <is>
          <t>ČSN 33 2000-5-52</t>
        </is>
      </c>
      <c r="E6" s="8" t="inlineStr">
        <is>
          <t>Elektrická vedení</t>
        </is>
      </c>
    </row>
    <row r="7">
      <c r="A7" s="8" t="inlineStr">
        <is>
          <t>L1 / L2 / L3</t>
        </is>
      </c>
      <c r="B7" s="8" t="inlineStr">
        <is>
          <t>hnědá / černá / šedá</t>
        </is>
      </c>
      <c r="D7" s="8" t="inlineStr">
        <is>
          <t>ČSN 33 2000-6</t>
        </is>
      </c>
      <c r="E7" s="8" t="inlineStr">
        <is>
          <t>Revize</t>
        </is>
      </c>
    </row>
    <row r="8">
      <c r="D8" s="8" t="inlineStr">
        <is>
          <t>ČSN 33 2000-7-712</t>
        </is>
      </c>
      <c r="E8" s="8" t="inlineStr">
        <is>
          <t>Fotovoltaické (PV) soustavy</t>
        </is>
      </c>
    </row>
    <row r="9">
      <c r="A9" s="5" t="inlineStr">
        <is>
          <t>Char. jističe</t>
        </is>
      </c>
      <c r="B9" s="5" t="inlineStr">
        <is>
          <t>Okamžité vybavení</t>
        </is>
      </c>
      <c r="C9" s="5" t="inlineStr">
        <is>
          <t>Použití</t>
        </is>
      </c>
      <c r="D9" s="8" t="inlineStr">
        <is>
          <t>ČSN EN IEC 62548-1</t>
        </is>
      </c>
      <c r="E9" s="8" t="inlineStr">
        <is>
          <t>Návrh PV polí</t>
        </is>
      </c>
    </row>
    <row r="10">
      <c r="A10" s="8" t="inlineStr">
        <is>
          <t>B</t>
        </is>
      </c>
      <c r="B10" s="8" t="inlineStr">
        <is>
          <t>3–5 × In</t>
        </is>
      </c>
      <c r="C10" s="8" t="inlineStr">
        <is>
          <t>světla, zásuvky, dlouhá vedení</t>
        </is>
      </c>
      <c r="D10" s="8" t="inlineStr">
        <is>
          <t>ČSN EN 62446-1</t>
        </is>
      </c>
      <c r="E10" s="8" t="inlineStr">
        <is>
          <t>PV: dokumentace, uvedení do provozu, kontroly</t>
        </is>
      </c>
    </row>
    <row r="11">
      <c r="A11" s="8" t="inlineStr">
        <is>
          <t>C</t>
        </is>
      </c>
      <c r="B11" s="8" t="inlineStr">
        <is>
          <t>5–10 × In</t>
        </is>
      </c>
      <c r="C11" s="8" t="inlineStr">
        <is>
          <t>běžné spotřebiče</t>
        </is>
      </c>
      <c r="D11" s="8" t="inlineStr">
        <is>
          <t>ČSN EN 62305</t>
        </is>
      </c>
      <c r="E11" s="8" t="inlineStr">
        <is>
          <t>Ochrana před bleskem</t>
        </is>
      </c>
    </row>
    <row r="12">
      <c r="A12" s="8" t="inlineStr">
        <is>
          <t>D</t>
        </is>
      </c>
      <c r="B12" s="8" t="inlineStr">
        <is>
          <t>10–20 × In</t>
        </is>
      </c>
      <c r="C12" s="8" t="inlineStr">
        <is>
          <t>transformátory, motory</t>
        </is>
      </c>
      <c r="D12" s="8" t="inlineStr">
        <is>
          <t>ČSN EN 61439</t>
        </is>
      </c>
      <c r="E12" s="8" t="inlineStr">
        <is>
          <t>Rozváděče nn</t>
        </is>
      </c>
    </row>
    <row r="13">
      <c r="A13" s="8" t="inlineStr">
        <is>
          <t>K</t>
        </is>
      </c>
      <c r="B13" s="8" t="inlineStr">
        <is>
          <t>8–14 × In</t>
        </is>
      </c>
      <c r="C13" s="8" t="inlineStr">
        <is>
          <t>motory</t>
        </is>
      </c>
      <c r="D13" s="8" t="inlineStr">
        <is>
          <t>ČSN 33 1500</t>
        </is>
      </c>
      <c r="E13" s="8" t="inlineStr">
        <is>
          <t>Revize elektrických zařízení</t>
        </is>
      </c>
    </row>
    <row r="14">
      <c r="A14" s="8" t="inlineStr">
        <is>
          <t>Z</t>
        </is>
      </c>
      <c r="B14" s="8" t="inlineStr">
        <is>
          <t>2–3 × In</t>
        </is>
      </c>
      <c r="C14" s="8" t="inlineStr">
        <is>
          <t>polovodiče</t>
        </is>
      </c>
      <c r="D14" s="8" t="inlineStr">
        <is>
          <t>ČSN EN 50110-1</t>
        </is>
      </c>
      <c r="E14" s="8" t="inlineStr">
        <is>
          <t>Obsluha a práce na elektrických zařízeních</t>
        </is>
      </c>
    </row>
    <row r="15">
      <c r="D15" s="8" t="inlineStr">
        <is>
          <t>ČSN EN 61131-3</t>
        </is>
      </c>
      <c r="E15" s="8" t="inlineStr">
        <is>
          <t>Programovací jazyky PLC</t>
        </is>
      </c>
    </row>
    <row r="16">
      <c r="A16" s="5" t="inlineStr">
        <is>
          <t>RCD typ</t>
        </is>
      </c>
      <c r="B16" s="5" t="inlineStr">
        <is>
          <t>Detekuje</t>
        </is>
      </c>
    </row>
    <row r="17">
      <c r="A17" s="8" t="inlineStr">
        <is>
          <t>AC</t>
        </is>
      </c>
      <c r="B17" s="8" t="inlineStr">
        <is>
          <t>sinusový AC</t>
        </is>
      </c>
    </row>
    <row r="18">
      <c r="A18" s="8" t="inlineStr">
        <is>
          <t>A</t>
        </is>
      </c>
      <c r="B18" s="8" t="inlineStr">
        <is>
          <t>+ pulzní DC</t>
        </is>
      </c>
    </row>
    <row r="19">
      <c r="A19" s="8" t="inlineStr">
        <is>
          <t>F</t>
        </is>
      </c>
      <c r="B19" s="8" t="inlineStr">
        <is>
          <t>+ smíšené frekvence</t>
        </is>
      </c>
    </row>
    <row r="20">
      <c r="A20" s="8" t="inlineStr">
        <is>
          <t>B</t>
        </is>
      </c>
      <c r="B20" s="8" t="inlineStr">
        <is>
          <t>+ hladký DC (FVE, wallbox, měniče) dle výrobce</t>
        </is>
      </c>
    </row>
    <row r="22">
      <c r="A22" s="5" t="inlineStr">
        <is>
          <t>IP číslice</t>
        </is>
      </c>
      <c r="B22" s="5" t="inlineStr">
        <is>
          <t>1. (pevná tělesa)</t>
        </is>
      </c>
      <c r="C22" s="5" t="inlineStr">
        <is>
          <t>2. (voda)</t>
        </is>
      </c>
    </row>
    <row r="23">
      <c r="A23" s="8" t="n">
        <v>0</v>
      </c>
      <c r="B23" s="8" t="inlineStr">
        <is>
          <t>–</t>
        </is>
      </c>
      <c r="C23" s="8" t="inlineStr">
        <is>
          <t>–</t>
        </is>
      </c>
    </row>
    <row r="24">
      <c r="A24" s="8" t="n">
        <v>2</v>
      </c>
      <c r="B24" s="8" t="inlineStr">
        <is>
          <t>≥ 12,5 mm</t>
        </is>
      </c>
      <c r="C24" s="8" t="inlineStr">
        <is>
          <t>kapky, sklon 15°</t>
        </is>
      </c>
    </row>
    <row r="25">
      <c r="A25" s="8" t="n">
        <v>3</v>
      </c>
      <c r="B25" s="8" t="inlineStr">
        <is>
          <t>≥ 2,5 mm</t>
        </is>
      </c>
      <c r="C25" s="8" t="inlineStr">
        <is>
          <t>déšť</t>
        </is>
      </c>
    </row>
    <row r="26">
      <c r="A26" s="8" t="n">
        <v>4</v>
      </c>
      <c r="B26" s="8" t="inlineStr">
        <is>
          <t>≥ 1 mm</t>
        </is>
      </c>
      <c r="C26" s="8" t="inlineStr">
        <is>
          <t>stříkání</t>
        </is>
      </c>
    </row>
    <row r="27">
      <c r="A27" s="8" t="n">
        <v>5</v>
      </c>
      <c r="B27" s="8" t="inlineStr">
        <is>
          <t>prach</t>
        </is>
      </c>
      <c r="C27" s="8" t="inlineStr">
        <is>
          <t>tryskající voda</t>
        </is>
      </c>
    </row>
    <row r="28">
      <c r="A28" s="8" t="n">
        <v>6</v>
      </c>
      <c r="B28" s="8" t="inlineStr">
        <is>
          <t>prachotěsné</t>
        </is>
      </c>
      <c r="C28" s="8" t="inlineStr">
        <is>
          <t>silné proudy</t>
        </is>
      </c>
    </row>
    <row r="29">
      <c r="A29" s="8" t="n">
        <v>7</v>
      </c>
      <c r="B29" s="8" t="inlineStr"/>
      <c r="C29" s="8" t="inlineStr">
        <is>
          <t>ponoření dočasné</t>
        </is>
      </c>
    </row>
    <row r="30">
      <c r="A30" s="8" t="n">
        <v>8</v>
      </c>
      <c r="B30" s="8" t="inlineStr"/>
      <c r="C30" s="8" t="inlineStr">
        <is>
          <t>ponoření trvalé</t>
        </is>
      </c>
    </row>
    <row r="33">
      <c r="A33" s="19" t="inlineStr">
        <is>
          <t>AWG → mm²</t>
        </is>
      </c>
    </row>
    <row r="34">
      <c r="A34" s="5" t="inlineStr">
        <is>
          <t>AWG (číslo)</t>
        </is>
      </c>
      <c r="B34" s="5" t="inlineStr">
        <is>
          <t>Ø mm</t>
        </is>
      </c>
      <c r="C34" s="5" t="inlineStr">
        <is>
          <t>mm²</t>
        </is>
      </c>
    </row>
    <row r="35">
      <c r="A35" s="8" t="n">
        <v>24</v>
      </c>
      <c r="B35" s="28">
        <f>0.127*92^((36-24)/39)</f>
        <v/>
      </c>
      <c r="C35" s="28">
        <f>PI()/4*B35^2</f>
        <v/>
      </c>
    </row>
    <row r="36">
      <c r="A36" s="8" t="n">
        <v>22</v>
      </c>
      <c r="B36" s="28">
        <f>0.127*92^((36-22)/39)</f>
        <v/>
      </c>
      <c r="C36" s="28">
        <f>PI()/4*B36^2</f>
        <v/>
      </c>
    </row>
    <row r="37">
      <c r="A37" s="8" t="n">
        <v>20</v>
      </c>
      <c r="B37" s="28">
        <f>0.127*92^((36-20)/39)</f>
        <v/>
      </c>
      <c r="C37" s="28">
        <f>PI()/4*B37^2</f>
        <v/>
      </c>
    </row>
    <row r="38">
      <c r="A38" s="8" t="n">
        <v>18</v>
      </c>
      <c r="B38" s="28">
        <f>0.127*92^((36-18)/39)</f>
        <v/>
      </c>
      <c r="C38" s="28">
        <f>PI()/4*B38^2</f>
        <v/>
      </c>
    </row>
    <row r="39">
      <c r="A39" s="8" t="n">
        <v>16</v>
      </c>
      <c r="B39" s="28">
        <f>0.127*92^((36-16)/39)</f>
        <v/>
      </c>
      <c r="C39" s="28">
        <f>PI()/4*B39^2</f>
        <v/>
      </c>
    </row>
    <row r="40">
      <c r="A40" s="8" t="n">
        <v>14</v>
      </c>
      <c r="B40" s="28">
        <f>0.127*92^((36-14)/39)</f>
        <v/>
      </c>
      <c r="C40" s="28">
        <f>PI()/4*B40^2</f>
        <v/>
      </c>
    </row>
    <row r="41">
      <c r="A41" s="8" t="n">
        <v>12</v>
      </c>
      <c r="B41" s="28">
        <f>0.127*92^((36-12)/39)</f>
        <v/>
      </c>
      <c r="C41" s="28">
        <f>PI()/4*B41^2</f>
        <v/>
      </c>
    </row>
    <row r="42">
      <c r="A42" s="8" t="n">
        <v>10</v>
      </c>
      <c r="B42" s="28">
        <f>0.127*92^((36-10)/39)</f>
        <v/>
      </c>
      <c r="C42" s="28">
        <f>PI()/4*B42^2</f>
        <v/>
      </c>
    </row>
    <row r="43">
      <c r="A43" s="8" t="n">
        <v>8</v>
      </c>
      <c r="B43" s="28">
        <f>0.127*92^((36-8)/39)</f>
        <v/>
      </c>
      <c r="C43" s="28">
        <f>PI()/4*B43^2</f>
        <v/>
      </c>
    </row>
    <row r="44">
      <c r="A44" s="8" t="n">
        <v>6</v>
      </c>
      <c r="B44" s="28">
        <f>0.127*92^((36-6)/39)</f>
        <v/>
      </c>
      <c r="C44" s="28">
        <f>PI()/4*B44^2</f>
        <v/>
      </c>
    </row>
    <row r="45">
      <c r="A45" s="8" t="n">
        <v>4</v>
      </c>
      <c r="B45" s="28">
        <f>0.127*92^((36-4)/39)</f>
        <v/>
      </c>
      <c r="C45" s="28">
        <f>PI()/4*B45^2</f>
        <v/>
      </c>
    </row>
    <row r="46">
      <c r="A46" s="8" t="n">
        <v>2</v>
      </c>
      <c r="B46" s="28">
        <f>0.127*92^((36-2)/39)</f>
        <v/>
      </c>
      <c r="C46" s="28">
        <f>PI()/4*B46^2</f>
        <v/>
      </c>
    </row>
    <row r="47">
      <c r="A47" s="8" t="n">
        <v>1</v>
      </c>
      <c r="B47" s="28">
        <f>0.127*92^((36-1)/39)</f>
        <v/>
      </c>
      <c r="C47" s="28">
        <f>PI()/4*B47^2</f>
        <v/>
      </c>
    </row>
    <row r="48">
      <c r="A48" s="8" t="inlineStr">
        <is>
          <t>1/0</t>
        </is>
      </c>
      <c r="B48" s="28">
        <f>0.127*92^((36-0)/39)</f>
        <v/>
      </c>
      <c r="C48" s="28">
        <f>PI()/4*B48^2</f>
        <v/>
      </c>
    </row>
    <row r="49">
      <c r="A49" s="8" t="inlineStr">
        <is>
          <t>2/0</t>
        </is>
      </c>
      <c r="B49" s="28">
        <f>0.127*92^((36--1)/39)</f>
        <v/>
      </c>
      <c r="C49" s="28">
        <f>PI()/4*B49^2</f>
        <v/>
      </c>
    </row>
    <row r="50">
      <c r="A50" s="8" t="inlineStr">
        <is>
          <t>3/0</t>
        </is>
      </c>
      <c r="B50" s="28">
        <f>0.127*92^((36--2)/39)</f>
        <v/>
      </c>
      <c r="C50" s="28">
        <f>PI()/4*B50^2</f>
        <v/>
      </c>
    </row>
    <row r="51">
      <c r="A51" s="8" t="inlineStr">
        <is>
          <t>4/0</t>
        </is>
      </c>
      <c r="B51" s="28">
        <f>0.127*92^((36--3)/39)</f>
        <v/>
      </c>
      <c r="C51" s="28">
        <f>PI()/4*B51^2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100" customWidth="1" min="1" max="1"/>
    <col width="10" customWidth="1" min="2" max="2"/>
    <col width="18" customWidth="1" min="3" max="3"/>
  </cols>
  <sheetData>
    <row r="1">
      <c r="A1" s="1" t="inlineStr">
        <is>
          <t>Check revize</t>
        </is>
      </c>
    </row>
    <row r="2">
      <c r="A2" s="2" t="inlineStr">
        <is>
          <t>Výchozí revize / kontrola elektroinstalace</t>
        </is>
      </c>
    </row>
    <row r="4">
      <c r="A4" s="19" t="inlineStr">
        <is>
          <t>Bod</t>
        </is>
      </c>
      <c r="B4" s="19" t="inlineStr">
        <is>
          <t>Splněno (x)</t>
        </is>
      </c>
      <c r="C4" s="19" t="inlineStr">
        <is>
          <t>Poznámka</t>
        </is>
      </c>
    </row>
    <row r="5">
      <c r="A5" s="29" t="inlineStr">
        <is>
          <t>Dokumentace (projekt, schémata, protokol o určení vnějších vlivů) je k dispozici</t>
        </is>
      </c>
      <c r="B5" s="30" t="n"/>
      <c r="C5" s="8" t="n"/>
    </row>
    <row r="6">
      <c r="A6" s="29" t="inlineStr">
        <is>
          <t>Rozváděč a jističe jsou označeny, obvody odpovídají schématu</t>
        </is>
      </c>
      <c r="B6" s="30" t="n"/>
      <c r="C6" s="8" t="n"/>
    </row>
    <row r="7">
      <c r="A7" s="29" t="inlineStr">
        <is>
          <t>Barvy a označení vodičů (PE, N, L) jsou správně, PE je nepřerušený</t>
        </is>
      </c>
      <c r="B7" s="30" t="n"/>
      <c r="C7" s="8" t="n"/>
    </row>
    <row r="8">
      <c r="A8" s="29" t="inlineStr">
        <is>
          <t>Utažení svorek, kontrola vodičů ve svorkách, zaslepení volných otvorů</t>
        </is>
      </c>
      <c r="B8" s="30" t="n"/>
      <c r="C8" s="8" t="n"/>
    </row>
    <row r="9">
      <c r="A9" s="29" t="inlineStr">
        <is>
          <t>Průřezy vodičů a jištění odpovídají zatížení (Ib ≤ In ≤ Iz)</t>
        </is>
      </c>
      <c r="B9" s="30" t="n"/>
      <c r="C9" s="8" t="n"/>
    </row>
    <row r="10">
      <c r="A10" s="29" t="inlineStr">
        <is>
          <t>Hlavní ochranné pospojování a doplňující pospojování (koupelny aj.)</t>
        </is>
      </c>
      <c r="B10" s="30" t="n"/>
      <c r="C10" s="8" t="n"/>
    </row>
    <row r="11">
      <c r="A11" s="29" t="inlineStr">
        <is>
          <t>Odpor uzemnění / ověření připojení na uzemňovací soustavu</t>
        </is>
      </c>
      <c r="B11" s="30" t="n"/>
      <c r="C11" s="8" t="n"/>
    </row>
    <row r="12">
      <c r="A12" s="29" t="inlineStr">
        <is>
          <t>Izolační odpor 500 V DC (≥ 1 MΩ) změřen a zapsán</t>
        </is>
      </c>
      <c r="B12" s="30" t="n"/>
      <c r="C12" s="8" t="n"/>
    </row>
    <row r="13">
      <c r="A13" s="29" t="inlineStr">
        <is>
          <t>Impedance smyčky Zs změřena a porovnána s limity jističů</t>
        </is>
      </c>
      <c r="B13" s="30" t="n"/>
      <c r="C13" s="8" t="n"/>
    </row>
    <row r="14">
      <c r="A14" s="29" t="inlineStr">
        <is>
          <t>RCD: vybavovací proud a doba změřeny, tlačítko TEST funguje</t>
        </is>
      </c>
      <c r="B14" s="30" t="n"/>
      <c r="C14" s="8" t="n"/>
    </row>
    <row r="15">
      <c r="A15" s="29" t="inlineStr">
        <is>
          <t>Sled fází a funkce zásuvek / spotřebičů ověřena</t>
        </is>
      </c>
      <c r="B15" s="30" t="n"/>
      <c r="C15" s="8" t="n"/>
    </row>
    <row r="16">
      <c r="A16" s="29" t="inlineStr">
        <is>
          <t>Krytí a označení rozváděče (výstražné štítky, štítek s údaji)</t>
        </is>
      </c>
      <c r="B16" s="30" t="n"/>
      <c r="C16" s="8" t="n"/>
    </row>
    <row r="17">
      <c r="A17" s="29" t="inlineStr">
        <is>
          <t>Protokol o revizi vyhotoven a předán</t>
        </is>
      </c>
      <c r="B17" s="30" t="n"/>
      <c r="C17" s="8" t="n"/>
    </row>
    <row r="19">
      <c r="A19" s="19">
        <f>"Splněno "&amp;COUNTIF(B5:B17,"x")&amp;" z 13"</f>
        <v/>
      </c>
    </row>
  </sheetData>
  <conditionalFormatting sqref="A5:B17">
    <cfRule type="expression" priority="1" dxfId="0">
      <formula>$B5="x"</formula>
    </cfRule>
  </conditionalFormatting>
  <dataValidations count="1">
    <dataValidation sqref="B5 B6 B7 B8 B9 B10 B11 B12 B13 B14 B15 B16 B17" showDropDown="0" showInputMessage="0" showErrorMessage="0" allowBlank="1" type="list">
      <formula1>"x,"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100" customWidth="1" min="1" max="1"/>
    <col width="10" customWidth="1" min="2" max="2"/>
    <col width="18" customWidth="1" min="3" max="3"/>
  </cols>
  <sheetData>
    <row r="1">
      <c r="A1" s="1" t="inlineStr">
        <is>
          <t>Check FVE</t>
        </is>
      </c>
    </row>
    <row r="2">
      <c r="A2" s="2" t="inlineStr">
        <is>
          <t>FVE — uvedení do provozu (ČSN EN 62446-1)</t>
        </is>
      </c>
    </row>
    <row r="4">
      <c r="A4" s="19" t="inlineStr">
        <is>
          <t>Bod</t>
        </is>
      </c>
      <c r="B4" s="19" t="inlineStr">
        <is>
          <t>Splněno (x)</t>
        </is>
      </c>
      <c r="C4" s="19" t="inlineStr">
        <is>
          <t>Poznámka</t>
        </is>
      </c>
    </row>
    <row r="5">
      <c r="A5" s="29" t="inlineStr">
        <is>
          <t>Mechanická kontrola: uchycení, utažení, rozestupy, poškození panelů</t>
        </is>
      </c>
      <c r="B5" s="30" t="n"/>
      <c r="C5" s="8" t="n"/>
    </row>
    <row r="6">
      <c r="A6" s="29" t="inlineStr">
        <is>
          <t>Polarita každého řetězce ověřena před připojením ke střídači</t>
        </is>
      </c>
      <c r="B6" s="30" t="n"/>
      <c r="C6" s="8" t="n"/>
    </row>
    <row r="7">
      <c r="A7" s="29" t="inlineStr">
        <is>
          <t>Napětí Voc každého řetězce změřeno a porovnáno s výpočtem</t>
        </is>
      </c>
      <c r="B7" s="30" t="n"/>
      <c r="C7" s="8" t="n"/>
    </row>
    <row r="8">
      <c r="A8" s="29" t="inlineStr">
        <is>
          <t>Isc (nebo provozní proud) řetězců změřen při stabilním ozáření</t>
        </is>
      </c>
      <c r="B8" s="30" t="n"/>
      <c r="C8" s="8" t="n"/>
    </row>
    <row r="9">
      <c r="A9" s="29" t="inlineStr">
        <is>
          <t>Izolační odpor DC polí (zkušební napětí dle Voc: &lt;120 V → 250 V, 120–500 V → 500 V, &gt;500 V → 1000 V)</t>
        </is>
      </c>
      <c r="B9" s="30" t="n"/>
      <c r="C9" s="8" t="n"/>
    </row>
    <row r="10">
      <c r="A10" s="29" t="inlineStr">
        <is>
          <t>Pospojování a uzemnění rámů a konstrukce, kontinuita PE</t>
        </is>
      </c>
      <c r="B10" s="30" t="n"/>
      <c r="C10" s="8" t="n"/>
    </row>
    <row r="11">
      <c r="A11" s="29" t="inlineStr">
        <is>
          <t>Hromosvod / SPD typ dle projektu (DC i AC), vzdálenosti dodrženy</t>
        </is>
      </c>
      <c r="B11" s="30" t="n"/>
      <c r="C11" s="8" t="n"/>
    </row>
    <row r="12">
      <c r="A12" s="29" t="inlineStr">
        <is>
          <t>DC odpínač, pojistky, AC jistič a RCD správně osazeny</t>
        </is>
      </c>
      <c r="B12" s="30" t="n"/>
      <c r="C12" s="8" t="n"/>
    </row>
    <row r="13">
      <c r="A13" s="29" t="inlineStr">
        <is>
          <t>Označení: výstražné štítky DC, schéma, kontakt, označení pro hasiče</t>
        </is>
      </c>
      <c r="B13" s="30" t="n"/>
      <c r="C13" s="8" t="n"/>
    </row>
    <row r="14">
      <c r="A14" s="29" t="inlineStr">
        <is>
          <t>Nastavení střídače: země / síťový kód, limity U, f, cos φ, omezení exportu</t>
        </is>
      </c>
      <c r="B14" s="30" t="n"/>
      <c r="C14" s="8" t="n"/>
    </row>
    <row r="15">
      <c r="A15" s="29" t="inlineStr">
        <is>
          <t>Funkce anti-islanding, přepnutí při výpadku sítě (u hybridů záloha)</t>
        </is>
      </c>
      <c r="B15" s="30" t="n"/>
      <c r="C15" s="8" t="n"/>
    </row>
    <row r="16">
      <c r="A16" s="29" t="inlineStr">
        <is>
          <t>Komunikace a monitoring, přístupy předány zákazníkovi</t>
        </is>
      </c>
      <c r="B16" s="30" t="n"/>
      <c r="C16" s="8" t="n"/>
    </row>
    <row r="17">
      <c r="A17" s="29" t="inlineStr">
        <is>
          <t>Měřič / měření toků (elektroměr, CT) správně orientováno</t>
        </is>
      </c>
      <c r="B17" s="30" t="n"/>
      <c r="C17" s="8" t="n"/>
    </row>
    <row r="18">
      <c r="A18" s="29" t="inlineStr">
        <is>
          <t>Fotodokumentace, protokol, revizní zpráva dle ČSN 33 2000-6 a 7-712</t>
        </is>
      </c>
      <c r="B18" s="30" t="n"/>
      <c r="C18" s="8" t="n"/>
    </row>
    <row r="20">
      <c r="A20" s="19">
        <f>"Splněno "&amp;COUNTIF(B5:B18,"x")&amp;" z 14"</f>
        <v/>
      </c>
    </row>
  </sheetData>
  <conditionalFormatting sqref="A5:B18">
    <cfRule type="expression" priority="1" dxfId="0">
      <formula>$B5="x"</formula>
    </cfRule>
  </conditionalFormatting>
  <dataValidations count="1">
    <dataValidation sqref="B5 B6 B7 B8 B9 B10 B11 B12 B13 B14 B15 B16 B17 B18" showDropDown="0" showInputMessage="0" showErrorMessage="0" allowBlank="1" type="list">
      <formula1>"x,"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100" customWidth="1" min="1" max="1"/>
    <col width="10" customWidth="1" min="2" max="2"/>
    <col width="18" customWidth="1" min="3" max="3"/>
  </cols>
  <sheetData>
    <row r="1">
      <c r="A1" s="1" t="inlineStr">
        <is>
          <t>Check MaR</t>
        </is>
      </c>
    </row>
    <row r="2">
      <c r="A2" s="2" t="inlineStr">
        <is>
          <t>MaR — oživení smyček a regulace</t>
        </is>
      </c>
    </row>
    <row r="4">
      <c r="A4" s="19" t="inlineStr">
        <is>
          <t>Bod</t>
        </is>
      </c>
      <c r="B4" s="19" t="inlineStr">
        <is>
          <t>Splněno (x)</t>
        </is>
      </c>
      <c r="C4" s="19" t="inlineStr">
        <is>
          <t>Poznámka</t>
        </is>
      </c>
    </row>
    <row r="5">
      <c r="A5" s="29" t="inlineStr">
        <is>
          <t>Zapojení zkontrolováno dle schématu, svorky popsány, stínění uzemněno</t>
        </is>
      </c>
      <c r="B5" s="30" t="n"/>
      <c r="C5" s="8" t="n"/>
    </row>
    <row r="6">
      <c r="A6" s="29" t="inlineStr">
        <is>
          <t>Napájení 24 V ověřeno (napětí pod zátěží, polarita, jištění)</t>
        </is>
      </c>
      <c r="B6" s="30" t="n"/>
      <c r="C6" s="8" t="n"/>
    </row>
    <row r="7">
      <c r="A7" s="29" t="inlineStr">
        <is>
          <t>Analogové vstupy: simulace 4 / 12 / 20 mA, kontrola škálování v PLC</t>
        </is>
      </c>
      <c r="B7" s="30" t="n"/>
      <c r="C7" s="8" t="n"/>
    </row>
    <row r="8">
      <c r="A8" s="29" t="inlineStr">
        <is>
          <t>Poruchové stavy (&lt; 3,8 mA, přerušení vodiče) vyvolávají alarm</t>
        </is>
      </c>
      <c r="B8" s="30" t="n"/>
      <c r="C8" s="8" t="n"/>
    </row>
    <row r="9">
      <c r="A9" s="29" t="inlineStr">
        <is>
          <t>Teplotní čidla porovnána s referenčním teploměrem</t>
        </is>
      </c>
      <c r="B9" s="30" t="n"/>
      <c r="C9" s="8" t="n"/>
    </row>
    <row r="10">
      <c r="A10" s="29" t="inlineStr">
        <is>
          <t>Aktory: směr, doba chodu, 0–100 %, koncové polohy, poloha při poruše</t>
        </is>
      </c>
      <c r="B10" s="30" t="n"/>
      <c r="C10" s="8" t="n"/>
    </row>
    <row r="11">
      <c r="A11" s="29" t="inlineStr">
        <is>
          <t>Binární vstupy / výstupy: test každého bodu (I/O check)</t>
        </is>
      </c>
      <c r="B11" s="30" t="n"/>
      <c r="C11" s="8" t="n"/>
    </row>
    <row r="12">
      <c r="A12" s="29" t="inlineStr">
        <is>
          <t>Komunikace: adresy, rychlost, parita, zakončení RS-485 120 Ω</t>
        </is>
      </c>
      <c r="B12" s="30" t="n"/>
      <c r="C12" s="8" t="n"/>
    </row>
    <row r="13">
      <c r="A13" s="29" t="inlineStr">
        <is>
          <t>Regulátory: PID nastaveny, kontrola stability, omezení výstupu a anti-windup</t>
        </is>
      </c>
      <c r="B13" s="30" t="n"/>
      <c r="C13" s="8" t="n"/>
    </row>
    <row r="14">
      <c r="A14" s="29" t="inlineStr">
        <is>
          <t>Alarmy a limity nastaveny, ověřen jejich signál</t>
        </is>
      </c>
      <c r="B14" s="30" t="n"/>
      <c r="C14" s="8" t="n"/>
    </row>
    <row r="15">
      <c r="A15" s="29" t="inlineStr">
        <is>
          <t>Bezpečnostní funkce (protimrazová ochrana, havarijní vypnutí) otestovány</t>
        </is>
      </c>
      <c r="B15" s="30" t="n"/>
      <c r="C15" s="8" t="n"/>
    </row>
    <row r="16">
      <c r="A16" s="29" t="inlineStr">
        <is>
          <t>Program zálohován, verze zaznamenána, dokumentace aktualizována</t>
        </is>
      </c>
      <c r="B16" s="30" t="n"/>
      <c r="C16" s="8" t="n"/>
    </row>
    <row r="18">
      <c r="A18" s="19">
        <f>"Splněno "&amp;COUNTIF(B5:B16,"x")&amp;" z 12"</f>
        <v/>
      </c>
    </row>
  </sheetData>
  <conditionalFormatting sqref="A5:B16">
    <cfRule type="expression" priority="1" dxfId="0">
      <formula>$B5="x"</formula>
    </cfRule>
  </conditionalFormatting>
  <dataValidations count="1">
    <dataValidation sqref="B5 B6 B7 B8 B9 B10 B11 B12 B13 B14 B15 B16" showDropDown="0" showInputMessage="0" showErrorMessage="0" allowBlank="1" type="list">
      <formula1>"x,"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2026-10-14T22:10:37Z</dcterms:created>
  <dcterms:modified xmlns:dcterms="http://purl.org/dc/terms/" xmlns:xsi="http://www.w3.org/2001/XMLSchema-instance" xsi:type="dcterms:W3CDTF">2026-10-14T22:10:37Z</dcterms:modified>
</cp:coreProperties>
</file>