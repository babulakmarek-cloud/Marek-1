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bíd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Kč&quot;"/>
    <numFmt numFmtId="165" formatCode="0.##"/>
  </numFmts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b val="1"/>
    </font>
    <font/>
    <font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164" fontId="4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9" customWidth="1" min="3" max="3"/>
    <col width="9" customWidth="1" min="4" max="4"/>
    <col width="16" customWidth="1" min="5" max="5"/>
    <col width="18" customWidth="1" min="6" max="6"/>
  </cols>
  <sheetData>
    <row r="1">
      <c r="A1" s="1" t="inlineStr">
        <is>
          <t>Cenová nabídka č. 26_960-EL</t>
        </is>
      </c>
    </row>
    <row r="2">
      <c r="A2" s="2" t="inlineStr">
        <is>
          <t>ze dne: 07.10.2026</t>
        </is>
      </c>
    </row>
    <row r="3" ht="32" customHeight="1">
      <c r="A3" s="3" t="inlineStr">
        <is>
          <t>Elektro přívody pro klimatizaci RD – 2× venkovní jednotka HAIER Multi-Split 2+1 (soupis č. 26_960, Cool Technology s.r.o.)</t>
        </is>
      </c>
    </row>
    <row r="5">
      <c r="A5" s="4" t="inlineStr">
        <is>
          <t>Dodavatel:</t>
        </is>
      </c>
      <c r="D5" s="4" t="inlineStr">
        <is>
          <t>Odběratel / místo realizace:</t>
        </is>
      </c>
    </row>
    <row r="6">
      <c r="A6" t="inlineStr">
        <is>
          <t>[doplnit jméno / obchodní firmu]</t>
        </is>
      </c>
      <c r="D6" t="inlineStr">
        <is>
          <t>pan Pavel Znojemský</t>
        </is>
      </c>
    </row>
    <row r="7">
      <c r="A7" t="inlineStr">
        <is>
          <t>[doplnit adresu]</t>
        </is>
      </c>
      <c r="D7" t="inlineStr">
        <is>
          <t>Lesná 33</t>
        </is>
      </c>
    </row>
    <row r="8">
      <c r="A8" t="inlineStr">
        <is>
          <t>IČO: [doplnit]   DIČ: [doplnit]</t>
        </is>
      </c>
      <c r="D8" t="inlineStr">
        <is>
          <t>405 02 Děčín</t>
        </is>
      </c>
    </row>
    <row r="9">
      <c r="A9" t="inlineStr">
        <is>
          <t>Tel.: [doplnit]   E-mail: babulakmarek@gmail.com</t>
        </is>
      </c>
      <c r="D9" t="inlineStr"/>
    </row>
    <row r="11" ht="32" customHeight="1">
      <c r="A11" s="5" t="inlineStr">
        <is>
          <t>Č.</t>
        </is>
      </c>
      <c r="B11" s="5" t="inlineStr">
        <is>
          <t>Název</t>
        </is>
      </c>
      <c r="C11" s="5" t="inlineStr">
        <is>
          <t>Jedn.</t>
        </is>
      </c>
      <c r="D11" s="5" t="inlineStr">
        <is>
          <t>Počet</t>
        </is>
      </c>
      <c r="E11" s="5" t="inlineStr">
        <is>
          <t>Jedn. cena
bez DPH</t>
        </is>
      </c>
      <c r="F11" s="5" t="inlineStr">
        <is>
          <t>Cena celkem
bez DPH</t>
        </is>
      </c>
    </row>
    <row r="12">
      <c r="A12" s="6" t="n"/>
      <c r="B12" s="7" t="inlineStr">
        <is>
          <t>Přívod č. 1 – venkovní jednotka 2+1 (kuchyň + ložnice)</t>
        </is>
      </c>
      <c r="C12" s="6" t="n"/>
      <c r="D12" s="6" t="n"/>
      <c r="E12" s="6" t="n"/>
      <c r="F12" s="6" t="n"/>
    </row>
    <row r="13">
      <c r="A13" s="8" t="inlineStr">
        <is>
          <t>01</t>
        </is>
      </c>
      <c r="B13" s="9" t="inlineStr">
        <is>
          <t>Kabel CYKY-J 3×2,5 mm² – napájení venkovní jednotky (jednotka č. 1), délka trasy cca 10 m</t>
        </is>
      </c>
      <c r="C13" s="8" t="inlineStr">
        <is>
          <t>m</t>
        </is>
      </c>
      <c r="D13" s="10" t="n">
        <v>10</v>
      </c>
      <c r="E13" s="11" t="n">
        <v>45</v>
      </c>
      <c r="F13" s="11">
        <f>D13*E13</f>
        <v/>
      </c>
    </row>
    <row r="14">
      <c r="A14" s="8" t="inlineStr">
        <is>
          <t>02</t>
        </is>
      </c>
      <c r="B14" s="9" t="inlineStr">
        <is>
          <t>Plastová elektroinstalační lišta bílá 40×25 mm vč. tvarovek (rohy, spojky, koncovky), cca 10 m</t>
        </is>
      </c>
      <c r="C14" s="8" t="inlineStr">
        <is>
          <t>bm</t>
        </is>
      </c>
      <c r="D14" s="10" t="n">
        <v>10</v>
      </c>
      <c r="E14" s="11" t="n">
        <v>70</v>
      </c>
      <c r="F14" s="11">
        <f>D14*E14</f>
        <v/>
      </c>
    </row>
    <row r="15">
      <c r="A15" s="8" t="inlineStr">
        <is>
          <t>03</t>
        </is>
      </c>
      <c r="B15" s="9" t="inlineStr">
        <is>
          <t>Jistič 1pólový B16A, charakteristika B, 6 kA</t>
        </is>
      </c>
      <c r="C15" s="8" t="inlineStr">
        <is>
          <t>ks</t>
        </is>
      </c>
      <c r="D15" s="10" t="n">
        <v>1</v>
      </c>
      <c r="E15" s="11" t="n">
        <v>180</v>
      </c>
      <c r="F15" s="11">
        <f>D15*E15</f>
        <v/>
      </c>
    </row>
    <row r="16">
      <c r="A16" s="8" t="inlineStr">
        <is>
          <t>04</t>
        </is>
      </c>
      <c r="B16" s="9" t="inlineStr">
        <is>
          <t>Drobný instalační materiál (svorky, dutinky, hmoždinky, popisné štítky)</t>
        </is>
      </c>
      <c r="C16" s="8" t="inlineStr">
        <is>
          <t>soubor</t>
        </is>
      </c>
      <c r="D16" s="10" t="n">
        <v>1</v>
      </c>
      <c r="E16" s="11" t="n">
        <v>250</v>
      </c>
      <c r="F16" s="11">
        <f>D16*E16</f>
        <v/>
      </c>
    </row>
    <row r="17">
      <c r="A17" s="8" t="inlineStr">
        <is>
          <t>05</t>
        </is>
      </c>
      <c r="B17" s="9" t="inlineStr">
        <is>
          <t>Montáž lišty a uložení kabelu do lišty</t>
        </is>
      </c>
      <c r="C17" s="8" t="inlineStr">
        <is>
          <t>bm</t>
        </is>
      </c>
      <c r="D17" s="10" t="n">
        <v>10</v>
      </c>
      <c r="E17" s="11" t="n">
        <v>150</v>
      </c>
      <c r="F17" s="11">
        <f>D17*E17</f>
        <v/>
      </c>
    </row>
    <row r="18">
      <c r="A18" s="8" t="inlineStr">
        <is>
          <t>06</t>
        </is>
      </c>
      <c r="B18" s="9" t="inlineStr">
        <is>
          <t>Montáž jističe do stávajícího rozvaděče, připojení a popis okruhu</t>
        </is>
      </c>
      <c r="C18" s="8" t="inlineStr">
        <is>
          <t>ks</t>
        </is>
      </c>
      <c r="D18" s="10" t="n">
        <v>1</v>
      </c>
      <c r="E18" s="11" t="n">
        <v>450</v>
      </c>
      <c r="F18" s="11">
        <f>D18*E18</f>
        <v/>
      </c>
    </row>
    <row r="19">
      <c r="A19" s="8" t="inlineStr">
        <is>
          <t>07</t>
        </is>
      </c>
      <c r="B19" s="9" t="inlineStr">
        <is>
          <t>Připojení kabelu na svorkovnici venkovní jednotky, kontrola zapojení</t>
        </is>
      </c>
      <c r="C19" s="8" t="inlineStr">
        <is>
          <t>kpl</t>
        </is>
      </c>
      <c r="D19" s="10" t="n">
        <v>1</v>
      </c>
      <c r="E19" s="11" t="n">
        <v>350</v>
      </c>
      <c r="F19" s="11">
        <f>D19*E19</f>
        <v/>
      </c>
    </row>
    <row r="20">
      <c r="A20" s="6" t="n"/>
      <c r="B20" s="7" t="inlineStr">
        <is>
          <t>Přívod č. 2 – venkovní jednotka 2+1 (dětský pokoj č. 1 + č. 2)</t>
        </is>
      </c>
      <c r="C20" s="6" t="n"/>
      <c r="D20" s="6" t="n"/>
      <c r="E20" s="6" t="n"/>
      <c r="F20" s="6" t="n"/>
    </row>
    <row r="21">
      <c r="A21" s="8" t="inlineStr">
        <is>
          <t>08</t>
        </is>
      </c>
      <c r="B21" s="9" t="inlineStr">
        <is>
          <t>Kabel CYKY-J 3×2,5 mm² – napájení venkovní jednotky (jednotka č. 2), délka trasy cca 10 m</t>
        </is>
      </c>
      <c r="C21" s="8" t="inlineStr">
        <is>
          <t>m</t>
        </is>
      </c>
      <c r="D21" s="10" t="n">
        <v>10</v>
      </c>
      <c r="E21" s="11" t="n">
        <v>45</v>
      </c>
      <c r="F21" s="11">
        <f>D21*E21</f>
        <v/>
      </c>
    </row>
    <row r="22">
      <c r="A22" s="8" t="inlineStr">
        <is>
          <t>09</t>
        </is>
      </c>
      <c r="B22" s="9" t="inlineStr">
        <is>
          <t>Plastová elektroinstalační lišta bílá 40×25 mm vč. tvarovek (rohy, spojky, koncovky), cca 10 m</t>
        </is>
      </c>
      <c r="C22" s="8" t="inlineStr">
        <is>
          <t>bm</t>
        </is>
      </c>
      <c r="D22" s="10" t="n">
        <v>10</v>
      </c>
      <c r="E22" s="11" t="n">
        <v>70</v>
      </c>
      <c r="F22" s="11">
        <f>D22*E22</f>
        <v/>
      </c>
    </row>
    <row r="23">
      <c r="A23" s="8" t="inlineStr">
        <is>
          <t>10</t>
        </is>
      </c>
      <c r="B23" s="9" t="inlineStr">
        <is>
          <t>Jistič 1pólový B16A, charakteristika B, 6 kA</t>
        </is>
      </c>
      <c r="C23" s="8" t="inlineStr">
        <is>
          <t>ks</t>
        </is>
      </c>
      <c r="D23" s="10" t="n">
        <v>1</v>
      </c>
      <c r="E23" s="11" t="n">
        <v>180</v>
      </c>
      <c r="F23" s="11">
        <f>D23*E23</f>
        <v/>
      </c>
    </row>
    <row r="24">
      <c r="A24" s="8" t="inlineStr">
        <is>
          <t>11</t>
        </is>
      </c>
      <c r="B24" s="9" t="inlineStr">
        <is>
          <t>Drobný instalační materiál (svorky, dutinky, hmoždinky, popisné štítky)</t>
        </is>
      </c>
      <c r="C24" s="8" t="inlineStr">
        <is>
          <t>soubor</t>
        </is>
      </c>
      <c r="D24" s="10" t="n">
        <v>1</v>
      </c>
      <c r="E24" s="11" t="n">
        <v>250</v>
      </c>
      <c r="F24" s="11">
        <f>D24*E24</f>
        <v/>
      </c>
    </row>
    <row r="25">
      <c r="A25" s="8" t="inlineStr">
        <is>
          <t>12</t>
        </is>
      </c>
      <c r="B25" s="9" t="inlineStr">
        <is>
          <t>Montáž lišty a uložení kabelu do lišty</t>
        </is>
      </c>
      <c r="C25" s="8" t="inlineStr">
        <is>
          <t>bm</t>
        </is>
      </c>
      <c r="D25" s="10" t="n">
        <v>10</v>
      </c>
      <c r="E25" s="11" t="n">
        <v>150</v>
      </c>
      <c r="F25" s="11">
        <f>D25*E25</f>
        <v/>
      </c>
    </row>
    <row r="26">
      <c r="A26" s="8" t="inlineStr">
        <is>
          <t>13</t>
        </is>
      </c>
      <c r="B26" s="9" t="inlineStr">
        <is>
          <t>Montáž jističe do stávajícího rozvaděče, připojení a popis okruhu</t>
        </is>
      </c>
      <c r="C26" s="8" t="inlineStr">
        <is>
          <t>ks</t>
        </is>
      </c>
      <c r="D26" s="10" t="n">
        <v>1</v>
      </c>
      <c r="E26" s="11" t="n">
        <v>450</v>
      </c>
      <c r="F26" s="11">
        <f>D26*E26</f>
        <v/>
      </c>
    </row>
    <row r="27">
      <c r="A27" s="8" t="inlineStr">
        <is>
          <t>14</t>
        </is>
      </c>
      <c r="B27" s="9" t="inlineStr">
        <is>
          <t>Připojení kabelu na svorkovnici venkovní jednotky, kontrola zapojení</t>
        </is>
      </c>
      <c r="C27" s="8" t="inlineStr">
        <is>
          <t>kpl</t>
        </is>
      </c>
      <c r="D27" s="10" t="n">
        <v>1</v>
      </c>
      <c r="E27" s="11" t="n">
        <v>350</v>
      </c>
      <c r="F27" s="11">
        <f>D27*E27</f>
        <v/>
      </c>
    </row>
    <row r="28">
      <c r="A28" s="6" t="n"/>
      <c r="B28" s="7" t="inlineStr">
        <is>
          <t>Společné položky</t>
        </is>
      </c>
      <c r="C28" s="6" t="n"/>
      <c r="D28" s="6" t="n"/>
      <c r="E28" s="6" t="n"/>
      <c r="F28" s="6" t="n"/>
    </row>
    <row r="29">
      <c r="A29" s="8" t="inlineStr">
        <is>
          <t>15</t>
        </is>
      </c>
      <c r="B29" s="9" t="inlineStr">
        <is>
          <t>Výchozí revize elektrické instalace nových přívodů (měření, protokol, revizní zpráva)</t>
        </is>
      </c>
      <c r="C29" s="8" t="inlineStr">
        <is>
          <t>kpl</t>
        </is>
      </c>
      <c r="D29" s="10" t="n">
        <v>1</v>
      </c>
      <c r="E29" s="11" t="n">
        <v>2500</v>
      </c>
      <c r="F29" s="11">
        <f>D29*E29</f>
        <v/>
      </c>
    </row>
    <row r="30">
      <c r="A30" s="8" t="inlineStr">
        <is>
          <t>16</t>
        </is>
      </c>
      <c r="B30" s="9" t="inlineStr">
        <is>
          <t>Doprava materiálu a pracovníků – paušál</t>
        </is>
      </c>
      <c r="C30" s="8" t="inlineStr">
        <is>
          <t>pauš</t>
        </is>
      </c>
      <c r="D30" s="10" t="n">
        <v>1</v>
      </c>
      <c r="E30" s="11" t="n">
        <v>400</v>
      </c>
      <c r="F30" s="11">
        <f>D30*E30</f>
        <v/>
      </c>
    </row>
    <row r="31">
      <c r="A31" s="12" t="n"/>
      <c r="B31" s="13" t="inlineStr">
        <is>
          <t>Cena celkem bez DPH:</t>
        </is>
      </c>
      <c r="C31" s="12" t="n"/>
      <c r="D31" s="12" t="n"/>
      <c r="E31" s="12" t="n"/>
      <c r="F31" s="14">
        <f>SUM(F12:F30)</f>
        <v/>
      </c>
    </row>
    <row r="32">
      <c r="A32" s="12" t="n"/>
      <c r="B32" s="15" t="inlineStr">
        <is>
          <t>DPH 21 %:</t>
        </is>
      </c>
      <c r="C32" s="12" t="n"/>
      <c r="D32" s="12" t="n"/>
      <c r="E32" s="12" t="n"/>
      <c r="F32" s="16">
        <f>F31*0.21</f>
        <v/>
      </c>
    </row>
    <row r="33">
      <c r="A33" s="12" t="n"/>
      <c r="B33" s="13" t="inlineStr">
        <is>
          <t>Cena celkem vč. DPH:</t>
        </is>
      </c>
      <c r="C33" s="12" t="n"/>
      <c r="D33" s="12" t="n"/>
      <c r="E33" s="12" t="n"/>
      <c r="F33" s="14">
        <f>F31+F32</f>
        <v/>
      </c>
    </row>
    <row r="35">
      <c r="A35" s="4" t="inlineStr">
        <is>
          <t>Nepovinné položky (nejsou zahrnuty v ceně výše – dle výsledku prohlídky rozvaděče)</t>
        </is>
      </c>
    </row>
    <row r="36" ht="32" customHeight="1">
      <c r="A36" s="5" t="inlineStr"/>
      <c r="B36" s="5" t="inlineStr">
        <is>
          <t>Název</t>
        </is>
      </c>
      <c r="C36" s="5" t="inlineStr">
        <is>
          <t>Jedn.</t>
        </is>
      </c>
      <c r="D36" s="5" t="inlineStr">
        <is>
          <t>Počet</t>
        </is>
      </c>
      <c r="E36" s="5" t="inlineStr">
        <is>
          <t>Jedn. cena
bez DPH</t>
        </is>
      </c>
      <c r="F36" s="5" t="inlineStr">
        <is>
          <t>Cena celkem
bez DPH</t>
        </is>
      </c>
    </row>
    <row r="37" ht="44" customHeight="1">
      <c r="A37" s="8" t="inlineStr">
        <is>
          <t>A</t>
        </is>
      </c>
      <c r="B37" s="9" t="inlineStr">
        <is>
          <t>Proudový chránič s nadproudovou ochranou RCBO B16A/30 mA (1P+N) místo samotného jističe B16A – příplatek za 1 ks vč. montáže</t>
        </is>
      </c>
      <c r="C37" s="8" t="inlineStr">
        <is>
          <t>ks</t>
        </is>
      </c>
      <c r="D37" s="8" t="n">
        <v>2</v>
      </c>
      <c r="E37" s="11" t="n">
        <v>850</v>
      </c>
      <c r="F37" s="11">
        <f>D37*E37</f>
        <v/>
      </c>
    </row>
    <row r="38" ht="44" customHeight="1">
      <c r="A38" s="8" t="inlineStr">
        <is>
          <t>B</t>
        </is>
      </c>
      <c r="B38" s="9" t="inlineStr">
        <is>
          <t>Servisní vypínač 16A IP65 u venkovní jednotky (vč. krabice a zapojení)</t>
        </is>
      </c>
      <c r="C38" s="8" t="inlineStr">
        <is>
          <t>ks</t>
        </is>
      </c>
      <c r="D38" s="8" t="n">
        <v>2</v>
      </c>
      <c r="E38" s="11" t="n">
        <v>650</v>
      </c>
      <c r="F38" s="11">
        <f>D38*E38</f>
        <v/>
      </c>
    </row>
    <row r="39" ht="44" customHeight="1">
      <c r="A39" s="8" t="inlineStr">
        <is>
          <t>C</t>
        </is>
      </c>
      <c r="B39" s="9" t="inlineStr">
        <is>
          <t>Plastová rozvodnice 1×8 modulů (pokud ve stávajícím rozvaděči není místo pro 2 jističe) vč. montáže a propojení</t>
        </is>
      </c>
      <c r="C39" s="8" t="inlineStr">
        <is>
          <t>ks</t>
        </is>
      </c>
      <c r="D39" s="8" t="n">
        <v>1</v>
      </c>
      <c r="E39" s="11" t="n">
        <v>1800</v>
      </c>
      <c r="F39" s="11">
        <f>D39*E39</f>
        <v/>
      </c>
    </row>
    <row r="41">
      <c r="A41" s="17" t="inlineStr">
        <is>
          <t>Poznámky a předpoklady:</t>
        </is>
      </c>
    </row>
    <row r="42" ht="15" customHeight="1">
      <c r="A42" s="18" t="inlineStr">
        <is>
          <t>•</t>
        </is>
      </c>
      <c r="B42" s="19" t="inlineStr">
        <is>
          <t>Nabídka je platná 30 dní od data vystavení.</t>
        </is>
      </c>
    </row>
    <row r="43" ht="45" customHeight="1">
      <c r="A43" s="18" t="inlineStr">
        <is>
          <t>•</t>
        </is>
      </c>
      <c r="B43" s="19" t="inlineStr">
        <is>
          <t>Napájení každé venkovní jednotky (Haier 2U50S2SM1FA-3, 1~ 230 V/50 Hz) je samostatný okruh jištěný 1fázovým jističem B16A, kabel CYKY-J 3×2,5 mm² (dle technické dokumentace výrobce: napájecí kabel 3×2,5 mm², max. provozní proud 9,0 A).</t>
        </is>
      </c>
    </row>
    <row r="44" ht="30" customHeight="1">
      <c r="A44" s="18" t="inlineStr">
        <is>
          <t>•</t>
        </is>
      </c>
      <c r="B44" s="19" t="inlineStr">
        <is>
          <t>Kabeláž je vedena v plastové liště; délka každé trasy cca 10 m. Nabídka je kalkulována na délku 2× 10 m, materiál se vyúčtuje dle skutečného provedení.</t>
        </is>
      </c>
    </row>
    <row r="45" ht="45" customHeight="1">
      <c r="A45" s="18" t="inlineStr">
        <is>
          <t>•</t>
        </is>
      </c>
      <c r="B45" s="19" t="inlineStr">
        <is>
          <t>Předpokládá se volná kapacita hlavního jištění a volné místo ve stávajícím rozvaděči pro 2 jističe; případně viz nepovinná položka C. Fázové rozložení zátěže (L1/L2/L3) bude vyváženo při montáži.</t>
        </is>
      </c>
    </row>
    <row r="46" ht="45" customHeight="1">
      <c r="A46" s="18" t="inlineStr">
        <is>
          <t>•</t>
        </is>
      </c>
      <c r="B46" s="19" t="inlineStr">
        <is>
          <t>Nabídka zahrnuje výchozí revizi nově zřízených přívodů a revizní zprávu (v soupisu č. 26_960 firmy Cool Technology s.r.o. není revize el. přívodu ani jeho montáž obsažena).</t>
        </is>
      </c>
    </row>
    <row r="47" ht="60" customHeight="1">
      <c r="A47" s="18" t="inlineStr">
        <is>
          <t>•</t>
        </is>
      </c>
      <c r="B47" s="19" t="inlineStr">
        <is>
          <t>Nabídka neobsahuje: komunikační vedení a chladivové potrubí mezi vnitřními a venkovními jednotkami, prostupy obvodovými a dělicími stěnami, zednické a malířské práce, montáž ani zprovoznění klimatizačních jednotek (zajišťuje Cool Technology s.r.o.).</t>
        </is>
      </c>
    </row>
    <row r="48" ht="15" customHeight="1">
      <c r="A48" s="18" t="inlineStr">
        <is>
          <t>•</t>
        </is>
      </c>
      <c r="B48" s="19" t="inlineStr">
        <is>
          <t>Ceny jsou uvedeny bez DPH; DPH ve výši 21 % je vyčísleno v součtu.</t>
        </is>
      </c>
    </row>
    <row r="49" ht="30" customHeight="1">
      <c r="A49" s="18" t="inlineStr">
        <is>
          <t>•</t>
        </is>
      </c>
      <c r="B49" s="19" t="inlineStr">
        <is>
          <t>Nabídka vychází z fotodokumentace stávajícího rozvaděče a elektroměrového rozvaděče; konečná cena bude upřesněna po prohlídce na místě.</t>
        </is>
      </c>
    </row>
    <row r="51">
      <c r="A51" t="inlineStr">
        <is>
          <t>Vystavil:</t>
        </is>
      </c>
      <c r="B51" t="inlineStr">
        <is>
          <t>[doplnit jméno]</t>
        </is>
      </c>
    </row>
    <row r="52">
      <c r="A52" t="inlineStr">
        <is>
          <t>Tel.:</t>
        </is>
      </c>
      <c r="B52" t="inlineStr">
        <is>
          <t>[doplnit telefon]</t>
        </is>
      </c>
    </row>
  </sheetData>
  <mergeCells count="23">
    <mergeCell ref="B47:F47"/>
    <mergeCell ref="B33:E33"/>
    <mergeCell ref="B46:F46"/>
    <mergeCell ref="D7:F7"/>
    <mergeCell ref="A3:F3"/>
    <mergeCell ref="B32:E32"/>
    <mergeCell ref="B43:F43"/>
    <mergeCell ref="A5:C5"/>
    <mergeCell ref="B48:F48"/>
    <mergeCell ref="A8:C8"/>
    <mergeCell ref="B42:F42"/>
    <mergeCell ref="D9:F9"/>
    <mergeCell ref="A35:F35"/>
    <mergeCell ref="D8:F8"/>
    <mergeCell ref="B44:F44"/>
    <mergeCell ref="B31:E31"/>
    <mergeCell ref="D5:F5"/>
    <mergeCell ref="A9:C9"/>
    <mergeCell ref="B49:F49"/>
    <mergeCell ref="A6:C6"/>
    <mergeCell ref="B45:F45"/>
    <mergeCell ref="A7:C7"/>
    <mergeCell ref="D6:F6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2026-10-07T10:04:22Z</dcterms:created>
  <dcterms:modified xmlns:dcterms="http://purl.org/dc/terms/" xmlns:xsi="http://www.w3.org/2001/XMLSchema-instance" xsi:type="dcterms:W3CDTF">2026-10-07T10:04:22Z</dcterms:modified>
</cp:coreProperties>
</file>