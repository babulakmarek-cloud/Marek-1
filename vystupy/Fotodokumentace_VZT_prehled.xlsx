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todokumentace VZT" sheetId="1" state="visible" r:id="rId3"/>
    <sheet name="Souhrn" sheetId="2" state="visible" r:id="rId4"/>
  </sheets>
  <definedNames>
    <definedName function="false" hidden="true" localSheetId="0" name="_xlnm._FilterDatabase" vbProcedure="false">'Fotodokumentace VZT'!$A$5:$M$65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<sst xmlns="http://schemas.openxmlformats.org/spreadsheetml/2006/main" count="42" uniqueCount="41">
  <si>
    <t xml:space="preserve">Přehled fotodokumentace provedených úprav – VZT (vzduchotechnika)</t>
  </si>
  <si>
    <t xml:space="preserve">Stavba / zakázka:</t>
  </si>
  <si>
    <t xml:space="preserve">Mondelez Werk 2, Lörrach – 25_336</t>
  </si>
  <si>
    <t xml:space="preserve">Legenda: žlutě = buňky k vyplnění; řádek 6 je pouze UKÁZKOVÝ (přepište / smažte); sloupec Kompletnost se počítá automaticky.</t>
  </si>
  <si>
    <t xml:space="preserve">Č.</t>
  </si>
  <si>
    <t xml:space="preserve">Datum</t>
  </si>
  <si>
    <t xml:space="preserve">Podlaží / objekt</t>
  </si>
  <si>
    <t xml:space="preserve">Místnost / zóna</t>
  </si>
  <si>
    <t xml:space="preserve">Označení zařízení</t>
  </si>
  <si>
    <t xml:space="preserve">Typ úpravy</t>
  </si>
  <si>
    <t xml:space="preserve">Popis provedené úpravy</t>
  </si>
  <si>
    <t xml:space="preserve">Foto PŘED (č. / soubor)</t>
  </si>
  <si>
    <t xml:space="preserve">Foto PO (č. / soubor)</t>
  </si>
  <si>
    <t xml:space="preserve">Foto detail (č. / soubor)</t>
  </si>
  <si>
    <t xml:space="preserve">Pořídil</t>
  </si>
  <si>
    <t xml:space="preserve">Poznámka</t>
  </si>
  <si>
    <t xml:space="preserve">Kompletnost</t>
  </si>
  <si>
    <t xml:space="preserve">2026-10-19</t>
  </si>
  <si>
    <t xml:space="preserve">1.OG</t>
  </si>
  <si>
    <t xml:space="preserve">Strojovna VZT</t>
  </si>
  <si>
    <t xml:space="preserve">KG-01</t>
  </si>
  <si>
    <t xml:space="preserve">Výměna</t>
  </si>
  <si>
    <t xml:space="preserve">UKÁZKA: výměna filtru a ošetření potrubí</t>
  </si>
  <si>
    <t xml:space="preserve">IMG_0001.jpg</t>
  </si>
  <si>
    <t xml:space="preserve">IMG_0002.jpg</t>
  </si>
  <si>
    <t xml:space="preserve">IMG_0003.jpg</t>
  </si>
  <si>
    <t xml:space="preserve">Jméno</t>
  </si>
  <si>
    <t xml:space="preserve">UKÁZKOVÝ ŘÁDEK</t>
  </si>
  <si>
    <t xml:space="preserve">Souhrn fotodokumentace</t>
  </si>
  <si>
    <t xml:space="preserve">Počet zdokumentovaných úprav</t>
  </si>
  <si>
    <t xml:space="preserve">Kompletní (foto před i po)</t>
  </si>
  <si>
    <t xml:space="preserve">Chybí foto</t>
  </si>
  <si>
    <t xml:space="preserve">Podíl kompletních</t>
  </si>
  <si>
    <t xml:space="preserve">Podle typu úpravy</t>
  </si>
  <si>
    <t xml:space="preserve">Nová instalace</t>
  </si>
  <si>
    <t xml:space="preserve">Oprava</t>
  </si>
  <si>
    <t xml:space="preserve">Demontáž</t>
  </si>
  <si>
    <t xml:space="preserve">Úprava trasy</t>
  </si>
  <si>
    <t xml:space="preserve">Izolace</t>
  </si>
  <si>
    <t xml:space="preserve">Regulace / MaR</t>
  </si>
  <si>
    <t xml:space="preserve">Jiné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</si>
</sst>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99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6" min="5" style="0" width="16"/>
    <col collapsed="false" customWidth="true" hidden="false" outlineLevel="0" max="7" min="7" style="0" width="40"/>
    <col collapsed="false" customWidth="true" hidden="false" outlineLevel="0" max="10" min="8" style="0" width="22"/>
    <col collapsed="false" customWidth="true" hidden="false" outlineLevel="0" max="11" min="11" style="0" width="14"/>
    <col collapsed="false" customWidth="true" hidden="false" outlineLevel="0" max="12" min="12" style="0" width="24"/>
    <col collapsed="false" customWidth="true" hidden="false" outlineLevel="0" max="13" min="13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s">
        <v>2</v>
      </c>
    </row>
    <row r="3" customFormat="false" ht="15" hidden="false" customHeight="false" outlineLevel="0" collapsed="false">
      <c r="A3" s="4" t="s">
        <v>3</v>
      </c>
    </row>
    <row r="5" customFormat="false" ht="31.5" hidden="false" customHeight="true" outlineLevel="0" collapsed="false">
      <c r="A5" s="5" t="s">
        <v>4</v>
      </c>
      <c r="B5" s="5" t="s">
        <v>5</v>
      </c>
      <c r="C5" s="5" t="s">
        <v>6</v>
      </c>
      <c r="D5" s="5" t="s">
        <v>7</v>
      </c>
      <c r="E5" s="5" t="s">
        <v>8</v>
      </c>
      <c r="F5" s="5" t="s">
        <v>9</v>
      </c>
      <c r="G5" s="5" t="s">
        <v>10</v>
      </c>
      <c r="H5" s="5" t="s">
        <v>11</v>
      </c>
      <c r="I5" s="5" t="s">
        <v>12</v>
      </c>
      <c r="J5" s="5" t="s">
        <v>13</v>
      </c>
      <c r="K5" s="5" t="s">
        <v>14</v>
      </c>
      <c r="L5" s="5" t="s">
        <v>15</v>
      </c>
      <c r="M5" s="5" t="s">
        <v>16</v>
      </c>
    </row>
    <row r="6" customFormat="false" ht="15" hidden="false" customHeight="false" outlineLevel="0" collapsed="false">
      <c r="A6" s="6" t="n">
        <v>1</v>
      </c>
      <c r="B6" s="7" t="s">
        <v>17</v>
      </c>
      <c r="C6" s="6" t="s">
        <v>18</v>
      </c>
      <c r="D6" s="6" t="s">
        <v>19</v>
      </c>
      <c r="E6" s="6" t="s">
        <v>20</v>
      </c>
      <c r="F6" s="6" t="s">
        <v>21</v>
      </c>
      <c r="G6" s="6" t="s">
        <v>22</v>
      </c>
      <c r="H6" s="6" t="s">
        <v>23</v>
      </c>
      <c r="I6" s="6" t="s">
        <v>24</v>
      </c>
      <c r="J6" s="6" t="s">
        <v>25</v>
      </c>
      <c r="K6" s="6" t="s">
        <v>26</v>
      </c>
      <c r="L6" s="6" t="s">
        <v>27</v>
      </c>
      <c r="M6" s="8" t="str">
        <f aca="false">IF(COUNTA(H6:I6)=0,"",IF(COUNTA(H6:I6)=2,"Kompletní","Chybí foto"))</f>
        <v>Kompletní</v>
      </c>
    </row>
    <row r="7" customFormat="false" ht="15" hidden="false" customHeight="false" outlineLevel="0" collapsed="false">
      <c r="A7" s="6" t="n">
        <v>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8" t="str">
        <f aca="false">IF(COUNTA(H7:I7)=0,"",IF(COUNTA(H7:I7)=2,"Kompletní","Chybí foto"))</f>
        <v/>
      </c>
    </row>
    <row r="8" customFormat="false" ht="15" hidden="false" customHeight="false" outlineLevel="0" collapsed="false">
      <c r="A8" s="6" t="n">
        <v>3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8" t="str">
        <f aca="false">IF(COUNTA(H8:I8)=0,"",IF(COUNTA(H8:I8)=2,"Kompletní","Chybí foto"))</f>
        <v/>
      </c>
    </row>
    <row r="9" customFormat="false" ht="15" hidden="false" customHeight="false" outlineLevel="0" collapsed="false">
      <c r="A9" s="6" t="n">
        <v>4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8" t="str">
        <f aca="false">IF(COUNTA(H9:I9)=0,"",IF(COUNTA(H9:I9)=2,"Kompletní","Chybí foto"))</f>
        <v/>
      </c>
    </row>
    <row r="10" customFormat="false" ht="15" hidden="false" customHeight="false" outlineLevel="0" collapsed="false">
      <c r="A10" s="6" t="n">
        <v>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8" t="str">
        <f aca="false">IF(COUNTA(H10:I10)=0,"",IF(COUNTA(H10:I10)=2,"Kompletní","Chybí foto"))</f>
        <v/>
      </c>
    </row>
    <row r="11" customFormat="false" ht="15" hidden="false" customHeight="false" outlineLevel="0" collapsed="false">
      <c r="A11" s="6" t="n">
        <v>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8" t="str">
        <f aca="false">IF(COUNTA(H11:I11)=0,"",IF(COUNTA(H11:I11)=2,"Kompletní","Chybí foto"))</f>
        <v/>
      </c>
    </row>
    <row r="12" customFormat="false" ht="15" hidden="false" customHeight="false" outlineLevel="0" collapsed="false">
      <c r="A12" s="6" t="n">
        <v>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8" t="str">
        <f aca="false">IF(COUNTA(H12:I12)=0,"",IF(COUNTA(H12:I12)=2,"Kompletní","Chybí foto"))</f>
        <v/>
      </c>
    </row>
    <row r="13" customFormat="false" ht="15" hidden="false" customHeight="false" outlineLevel="0" collapsed="false">
      <c r="A13" s="6" t="n">
        <v>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8" t="str">
        <f aca="false">IF(COUNTA(H13:I13)=0,"",IF(COUNTA(H13:I13)=2,"Kompletní","Chybí foto"))</f>
        <v/>
      </c>
    </row>
    <row r="14" customFormat="false" ht="15" hidden="false" customHeight="false" outlineLevel="0" collapsed="false">
      <c r="A14" s="6" t="n">
        <v>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8" t="str">
        <f aca="false">IF(COUNTA(H14:I14)=0,"",IF(COUNTA(H14:I14)=2,"Kompletní","Chybí foto"))</f>
        <v/>
      </c>
    </row>
    <row r="15" customFormat="false" ht="15" hidden="false" customHeight="false" outlineLevel="0" collapsed="false">
      <c r="A15" s="6" t="n">
        <v>10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8" t="str">
        <f aca="false">IF(COUNTA(H15:I15)=0,"",IF(COUNTA(H15:I15)=2,"Kompletní","Chybí foto"))</f>
        <v/>
      </c>
    </row>
    <row r="16" customFormat="false" ht="15" hidden="false" customHeight="false" outlineLevel="0" collapsed="false">
      <c r="A16" s="6" t="n">
        <v>11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8" t="str">
        <f aca="false">IF(COUNTA(H16:I16)=0,"",IF(COUNTA(H16:I16)=2,"Kompletní","Chybí foto"))</f>
        <v/>
      </c>
    </row>
    <row r="17" customFormat="false" ht="15" hidden="false" customHeight="false" outlineLevel="0" collapsed="false">
      <c r="A17" s="6" t="n">
        <v>12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8" t="str">
        <f aca="false">IF(COUNTA(H17:I17)=0,"",IF(COUNTA(H17:I17)=2,"Kompletní","Chybí foto"))</f>
        <v/>
      </c>
    </row>
    <row r="18" customFormat="false" ht="15" hidden="false" customHeight="false" outlineLevel="0" collapsed="false">
      <c r="A18" s="6" t="n">
        <v>13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8" t="str">
        <f aca="false">IF(COUNTA(H18:I18)=0,"",IF(COUNTA(H18:I18)=2,"Kompletní","Chybí foto"))</f>
        <v/>
      </c>
    </row>
    <row r="19" customFormat="false" ht="15" hidden="false" customHeight="false" outlineLevel="0" collapsed="false">
      <c r="A19" s="6" t="n">
        <v>14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8" t="str">
        <f aca="false">IF(COUNTA(H19:I19)=0,"",IF(COUNTA(H19:I19)=2,"Kompletní","Chybí foto"))</f>
        <v/>
      </c>
    </row>
    <row r="20" customFormat="false" ht="15" hidden="false" customHeight="false" outlineLevel="0" collapsed="false">
      <c r="A20" s="6" t="n">
        <v>15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8" t="str">
        <f aca="false">IF(COUNTA(H20:I20)=0,"",IF(COUNTA(H20:I20)=2,"Kompletní","Chybí foto"))</f>
        <v/>
      </c>
    </row>
    <row r="21" customFormat="false" ht="15" hidden="false" customHeight="false" outlineLevel="0" collapsed="false">
      <c r="A21" s="6" t="n">
        <v>16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8" t="str">
        <f aca="false">IF(COUNTA(H21:I21)=0,"",IF(COUNTA(H21:I21)=2,"Kompletní","Chybí foto"))</f>
        <v/>
      </c>
    </row>
    <row r="22" customFormat="false" ht="15" hidden="false" customHeight="false" outlineLevel="0" collapsed="false">
      <c r="A22" s="6" t="n">
        <v>17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8" t="str">
        <f aca="false">IF(COUNTA(H22:I22)=0,"",IF(COUNTA(H22:I22)=2,"Kompletní","Chybí foto"))</f>
        <v/>
      </c>
    </row>
    <row r="23" customFormat="false" ht="15" hidden="false" customHeight="false" outlineLevel="0" collapsed="false">
      <c r="A23" s="6" t="n">
        <v>18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8" t="str">
        <f aca="false">IF(COUNTA(H23:I23)=0,"",IF(COUNTA(H23:I23)=2,"Kompletní","Chybí foto"))</f>
        <v/>
      </c>
    </row>
    <row r="24" customFormat="false" ht="15" hidden="false" customHeight="false" outlineLevel="0" collapsed="false">
      <c r="A24" s="6" t="n">
        <v>19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8" t="str">
        <f aca="false">IF(COUNTA(H24:I24)=0,"",IF(COUNTA(H24:I24)=2,"Kompletní","Chybí foto"))</f>
        <v/>
      </c>
    </row>
    <row r="25" customFormat="false" ht="15" hidden="false" customHeight="false" outlineLevel="0" collapsed="false">
      <c r="A25" s="6" t="n">
        <v>20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8" t="str">
        <f aca="false">IF(COUNTA(H25:I25)=0,"",IF(COUNTA(H25:I25)=2,"Kompletní","Chybí foto"))</f>
        <v/>
      </c>
    </row>
    <row r="26" customFormat="false" ht="15" hidden="false" customHeight="false" outlineLevel="0" collapsed="false">
      <c r="A26" s="6" t="n">
        <v>21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8" t="str">
        <f aca="false">IF(COUNTA(H26:I26)=0,"",IF(COUNTA(H26:I26)=2,"Kompletní","Chybí foto"))</f>
        <v/>
      </c>
    </row>
    <row r="27" customFormat="false" ht="15" hidden="false" customHeight="false" outlineLevel="0" collapsed="false">
      <c r="A27" s="6" t="n">
        <v>22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8" t="str">
        <f aca="false">IF(COUNTA(H27:I27)=0,"",IF(COUNTA(H27:I27)=2,"Kompletní","Chybí foto"))</f>
        <v/>
      </c>
    </row>
    <row r="28" customFormat="false" ht="15" hidden="false" customHeight="false" outlineLevel="0" collapsed="false">
      <c r="A28" s="6" t="n">
        <v>23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8" t="str">
        <f aca="false">IF(COUNTA(H28:I28)=0,"",IF(COUNTA(H28:I28)=2,"Kompletní","Chybí foto"))</f>
        <v/>
      </c>
    </row>
    <row r="29" customFormat="false" ht="15" hidden="false" customHeight="false" outlineLevel="0" collapsed="false">
      <c r="A29" s="6" t="n">
        <v>24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8" t="str">
        <f aca="false">IF(COUNTA(H29:I29)=0,"",IF(COUNTA(H29:I29)=2,"Kompletní","Chybí foto"))</f>
        <v/>
      </c>
    </row>
    <row r="30" customFormat="false" ht="15" hidden="false" customHeight="false" outlineLevel="0" collapsed="false">
      <c r="A30" s="6" t="n">
        <v>25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8" t="str">
        <f aca="false">IF(COUNTA(H30:I30)=0,"",IF(COUNTA(H30:I30)=2,"Kompletní","Chybí foto"))</f>
        <v/>
      </c>
    </row>
    <row r="31" customFormat="false" ht="15" hidden="false" customHeight="false" outlineLevel="0" collapsed="false">
      <c r="A31" s="6" t="n">
        <v>26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8" t="str">
        <f aca="false">IF(COUNTA(H31:I31)=0,"",IF(COUNTA(H31:I31)=2,"Kompletní","Chybí foto"))</f>
        <v/>
      </c>
    </row>
    <row r="32" customFormat="false" ht="15" hidden="false" customHeight="false" outlineLevel="0" collapsed="false">
      <c r="A32" s="6" t="n">
        <v>27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8" t="str">
        <f aca="false">IF(COUNTA(H32:I32)=0,"",IF(COUNTA(H32:I32)=2,"Kompletní","Chybí foto"))</f>
        <v/>
      </c>
    </row>
    <row r="33" customFormat="false" ht="15" hidden="false" customHeight="false" outlineLevel="0" collapsed="false">
      <c r="A33" s="6" t="n">
        <v>28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8" t="str">
        <f aca="false">IF(COUNTA(H33:I33)=0,"",IF(COUNTA(H33:I33)=2,"Kompletní","Chybí foto"))</f>
        <v/>
      </c>
    </row>
    <row r="34" customFormat="false" ht="15" hidden="false" customHeight="false" outlineLevel="0" collapsed="false">
      <c r="A34" s="6" t="n">
        <v>29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8" t="str">
        <f aca="false">IF(COUNTA(H34:I34)=0,"",IF(COUNTA(H34:I34)=2,"Kompletní","Chybí foto"))</f>
        <v/>
      </c>
    </row>
    <row r="35" customFormat="false" ht="15" hidden="false" customHeight="false" outlineLevel="0" collapsed="false">
      <c r="A35" s="6" t="n">
        <v>30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8" t="str">
        <f aca="false">IF(COUNTA(H35:I35)=0,"",IF(COUNTA(H35:I35)=2,"Kompletní","Chybí foto"))</f>
        <v/>
      </c>
    </row>
    <row r="36" customFormat="false" ht="15" hidden="false" customHeight="false" outlineLevel="0" collapsed="false">
      <c r="A36" s="6" t="n">
        <v>31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8" t="str">
        <f aca="false">IF(COUNTA(H36:I36)=0,"",IF(COUNTA(H36:I36)=2,"Kompletní","Chybí foto"))</f>
        <v/>
      </c>
    </row>
    <row r="37" customFormat="false" ht="15" hidden="false" customHeight="false" outlineLevel="0" collapsed="false">
      <c r="A37" s="6" t="n">
        <v>32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8" t="str">
        <f aca="false">IF(COUNTA(H37:I37)=0,"",IF(COUNTA(H37:I37)=2,"Kompletní","Chybí foto"))</f>
        <v/>
      </c>
    </row>
    <row r="38" customFormat="false" ht="15" hidden="false" customHeight="false" outlineLevel="0" collapsed="false">
      <c r="A38" s="6" t="n">
        <v>33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8" t="str">
        <f aca="false">IF(COUNTA(H38:I38)=0,"",IF(COUNTA(H38:I38)=2,"Kompletní","Chybí foto"))</f>
        <v/>
      </c>
    </row>
    <row r="39" customFormat="false" ht="15" hidden="false" customHeight="false" outlineLevel="0" collapsed="false">
      <c r="A39" s="6" t="n">
        <v>34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8" t="str">
        <f aca="false">IF(COUNTA(H39:I39)=0,"",IF(COUNTA(H39:I39)=2,"Kompletní","Chybí foto"))</f>
        <v/>
      </c>
    </row>
    <row r="40" customFormat="false" ht="15" hidden="false" customHeight="false" outlineLevel="0" collapsed="false">
      <c r="A40" s="6" t="n">
        <v>35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8" t="str">
        <f aca="false">IF(COUNTA(H40:I40)=0,"",IF(COUNTA(H40:I40)=2,"Kompletní","Chybí foto"))</f>
        <v/>
      </c>
    </row>
    <row r="41" customFormat="false" ht="15" hidden="false" customHeight="false" outlineLevel="0" collapsed="false">
      <c r="A41" s="6" t="n">
        <v>36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8" t="str">
        <f aca="false">IF(COUNTA(H41:I41)=0,"",IF(COUNTA(H41:I41)=2,"Kompletní","Chybí foto"))</f>
        <v/>
      </c>
    </row>
    <row r="42" customFormat="false" ht="15" hidden="false" customHeight="false" outlineLevel="0" collapsed="false">
      <c r="A42" s="6" t="n">
        <v>37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8" t="str">
        <f aca="false">IF(COUNTA(H42:I42)=0,"",IF(COUNTA(H42:I42)=2,"Kompletní","Chybí foto"))</f>
        <v/>
      </c>
    </row>
    <row r="43" customFormat="false" ht="15" hidden="false" customHeight="false" outlineLevel="0" collapsed="false">
      <c r="A43" s="6" t="n">
        <v>38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8" t="str">
        <f aca="false">IF(COUNTA(H43:I43)=0,"",IF(COUNTA(H43:I43)=2,"Kompletní","Chybí foto"))</f>
        <v/>
      </c>
    </row>
    <row r="44" customFormat="false" ht="15" hidden="false" customHeight="false" outlineLevel="0" collapsed="false">
      <c r="A44" s="6" t="n">
        <v>39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8" t="str">
        <f aca="false">IF(COUNTA(H44:I44)=0,"",IF(COUNTA(H44:I44)=2,"Kompletní","Chybí foto"))</f>
        <v/>
      </c>
    </row>
    <row r="45" customFormat="false" ht="15" hidden="false" customHeight="false" outlineLevel="0" collapsed="false">
      <c r="A45" s="6" t="n">
        <v>40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8" t="str">
        <f aca="false">IF(COUNTA(H45:I45)=0,"",IF(COUNTA(H45:I45)=2,"Kompletní","Chybí foto"))</f>
        <v/>
      </c>
    </row>
    <row r="46" customFormat="false" ht="15" hidden="false" customHeight="false" outlineLevel="0" collapsed="false">
      <c r="A46" s="6" t="n">
        <v>41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8" t="str">
        <f aca="false">IF(COUNTA(H46:I46)=0,"",IF(COUNTA(H46:I46)=2,"Kompletní","Chybí foto"))</f>
        <v/>
      </c>
    </row>
    <row r="47" customFormat="false" ht="15" hidden="false" customHeight="false" outlineLevel="0" collapsed="false">
      <c r="A47" s="6" t="n">
        <v>42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8" t="str">
        <f aca="false">IF(COUNTA(H47:I47)=0,"",IF(COUNTA(H47:I47)=2,"Kompletní","Chybí foto"))</f>
        <v/>
      </c>
    </row>
    <row r="48" customFormat="false" ht="15" hidden="false" customHeight="false" outlineLevel="0" collapsed="false">
      <c r="A48" s="6" t="n">
        <v>43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8" t="str">
        <f aca="false">IF(COUNTA(H48:I48)=0,"",IF(COUNTA(H48:I48)=2,"Kompletní","Chybí foto"))</f>
        <v/>
      </c>
    </row>
    <row r="49" customFormat="false" ht="15" hidden="false" customHeight="false" outlineLevel="0" collapsed="false">
      <c r="A49" s="6" t="n">
        <v>44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8" t="str">
        <f aca="false">IF(COUNTA(H49:I49)=0,"",IF(COUNTA(H49:I49)=2,"Kompletní","Chybí foto"))</f>
        <v/>
      </c>
    </row>
    <row r="50" customFormat="false" ht="15" hidden="false" customHeight="false" outlineLevel="0" collapsed="false">
      <c r="A50" s="6" t="n">
        <v>45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8" t="str">
        <f aca="false">IF(COUNTA(H50:I50)=0,"",IF(COUNTA(H50:I50)=2,"Kompletní","Chybí foto"))</f>
        <v/>
      </c>
    </row>
    <row r="51" customFormat="false" ht="15" hidden="false" customHeight="false" outlineLevel="0" collapsed="false">
      <c r="A51" s="6" t="n">
        <v>46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8" t="str">
        <f aca="false">IF(COUNTA(H51:I51)=0,"",IF(COUNTA(H51:I51)=2,"Kompletní","Chybí foto"))</f>
        <v/>
      </c>
    </row>
    <row r="52" customFormat="false" ht="15" hidden="false" customHeight="false" outlineLevel="0" collapsed="false">
      <c r="A52" s="6" t="n">
        <v>47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8" t="str">
        <f aca="false">IF(COUNTA(H52:I52)=0,"",IF(COUNTA(H52:I52)=2,"Kompletní","Chybí foto"))</f>
        <v/>
      </c>
    </row>
    <row r="53" customFormat="false" ht="15" hidden="false" customHeight="false" outlineLevel="0" collapsed="false">
      <c r="A53" s="6" t="n">
        <v>48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8" t="str">
        <f aca="false">IF(COUNTA(H53:I53)=0,"",IF(COUNTA(H53:I53)=2,"Kompletní","Chybí foto"))</f>
        <v/>
      </c>
    </row>
    <row r="54" customFormat="false" ht="15" hidden="false" customHeight="false" outlineLevel="0" collapsed="false">
      <c r="A54" s="6" t="n">
        <v>49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8" t="str">
        <f aca="false">IF(COUNTA(H54:I54)=0,"",IF(COUNTA(H54:I54)=2,"Kompletní","Chybí foto"))</f>
        <v/>
      </c>
    </row>
    <row r="55" customFormat="false" ht="15" hidden="false" customHeight="false" outlineLevel="0" collapsed="false">
      <c r="A55" s="6" t="n">
        <v>50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8" t="str">
        <f aca="false">IF(COUNTA(H55:I55)=0,"",IF(COUNTA(H55:I55)=2,"Kompletní","Chybí foto"))</f>
        <v/>
      </c>
    </row>
    <row r="56" customFormat="false" ht="15" hidden="false" customHeight="false" outlineLevel="0" collapsed="false">
      <c r="A56" s="6" t="n">
        <v>51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8" t="str">
        <f aca="false">IF(COUNTA(H56:I56)=0,"",IF(COUNTA(H56:I56)=2,"Kompletní","Chybí foto"))</f>
        <v/>
      </c>
    </row>
    <row r="57" customFormat="false" ht="15" hidden="false" customHeight="false" outlineLevel="0" collapsed="false">
      <c r="A57" s="6" t="n">
        <v>52</v>
      </c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8" t="str">
        <f aca="false">IF(COUNTA(H57:I57)=0,"",IF(COUNTA(H57:I57)=2,"Kompletní","Chybí foto"))</f>
        <v/>
      </c>
    </row>
    <row r="58" customFormat="false" ht="15" hidden="false" customHeight="false" outlineLevel="0" collapsed="false">
      <c r="A58" s="6" t="n">
        <v>53</v>
      </c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8" t="str">
        <f aca="false">IF(COUNTA(H58:I58)=0,"",IF(COUNTA(H58:I58)=2,"Kompletní","Chybí foto"))</f>
        <v/>
      </c>
    </row>
    <row r="59" customFormat="false" ht="15" hidden="false" customHeight="false" outlineLevel="0" collapsed="false">
      <c r="A59" s="6" t="n">
        <v>54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8" t="str">
        <f aca="false">IF(COUNTA(H59:I59)=0,"",IF(COUNTA(H59:I59)=2,"Kompletní","Chybí foto"))</f>
        <v/>
      </c>
    </row>
    <row r="60" customFormat="false" ht="15" hidden="false" customHeight="false" outlineLevel="0" collapsed="false">
      <c r="A60" s="6" t="n">
        <v>55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8" t="str">
        <f aca="false">IF(COUNTA(H60:I60)=0,"",IF(COUNTA(H60:I60)=2,"Kompletní","Chybí foto"))</f>
        <v/>
      </c>
    </row>
    <row r="61" customFormat="false" ht="15" hidden="false" customHeight="false" outlineLevel="0" collapsed="false">
      <c r="A61" s="6" t="n">
        <v>56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8" t="str">
        <f aca="false">IF(COUNTA(H61:I61)=0,"",IF(COUNTA(H61:I61)=2,"Kompletní","Chybí foto"))</f>
        <v/>
      </c>
    </row>
    <row r="62" customFormat="false" ht="15" hidden="false" customHeight="false" outlineLevel="0" collapsed="false">
      <c r="A62" s="6" t="n">
        <v>57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8" t="str">
        <f aca="false">IF(COUNTA(H62:I62)=0,"",IF(COUNTA(H62:I62)=2,"Kompletní","Chybí foto"))</f>
        <v/>
      </c>
    </row>
    <row r="63" customFormat="false" ht="15" hidden="false" customHeight="false" outlineLevel="0" collapsed="false">
      <c r="A63" s="6" t="n">
        <v>58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8" t="str">
        <f aca="false">IF(COUNTA(H63:I63)=0,"",IF(COUNTA(H63:I63)=2,"Kompletní","Chybí foto"))</f>
        <v/>
      </c>
    </row>
    <row r="64" customFormat="false" ht="15" hidden="false" customHeight="false" outlineLevel="0" collapsed="false">
      <c r="A64" s="6" t="n">
        <v>59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8" t="str">
        <f aca="false">IF(COUNTA(H64:I64)=0,"",IF(COUNTA(H64:I64)=2,"Kompletní","Chybí foto"))</f>
        <v/>
      </c>
    </row>
    <row r="65" customFormat="false" ht="15" hidden="false" customHeight="false" outlineLevel="0" collapsed="false">
      <c r="A65" s="6" t="n">
        <v>60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8" t="str">
        <f aca="false">IF(COUNTA(H65:I65)=0,"",IF(COUNTA(H65:I65)=2,"Kompletní","Chybí foto"))</f>
        <v/>
      </c>
    </row>
  </sheetData>
  <autoFilter ref="A5:M65"/>
  <conditionalFormatting sqref="M6:M65">
    <cfRule type="cellIs" priority="2" operator="equal" aboveAverage="0" equalAverage="0" bottom="0" percent="0" rank="0" text="" dxfId="5">
      <formula>"Chybí foto"</formula>
    </cfRule>
    <cfRule type="cellIs" priority="3" operator="equal" aboveAverage="0" equalAverage="0" bottom="0" percent="0" rank="0" text="" dxfId="6">
      <formula>"Kompletní"</formula>
    </cfRule>
  </conditionalFormatting>
  <dataValidations count="1">
    <dataValidation allowBlank="true" errorStyle="stop" operator="between" showDropDown="false" showErrorMessage="false" showInputMessage="false" sqref="F6:F65" type="list">
      <formula1>"Nová instalace,Výměna,Oprava,Demontáž,Úprava trasy,Izolace,Regulace / MaR,Jiné"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</cols>
  <sheetData>
    <row r="1" customFormat="false" ht="17.35" hidden="false" customHeight="false" outlineLevel="0" collapsed="false">
      <c r="A1" s="1" t="s">
        <v>28</v>
      </c>
    </row>
    <row r="3" customFormat="false" ht="15" hidden="false" customHeight="false" outlineLevel="0" collapsed="false">
      <c r="A3" s="9" t="s">
        <v>29</v>
      </c>
      <c r="B3" s="9" t="n">
        <f aca="false">COUNTA('Fotodokumentace VZT'!G6:G65)</f>
        <v>1</v>
      </c>
    </row>
    <row r="4" customFormat="false" ht="15" hidden="false" customHeight="false" outlineLevel="0" collapsed="false">
      <c r="A4" s="9" t="s">
        <v>30</v>
      </c>
      <c r="B4" s="9" t="n">
        <f aca="false">COUNTIF('Fotodokumentace VZT'!M6:M65,"Kompletní")</f>
        <v>1</v>
      </c>
    </row>
    <row r="5" customFormat="false" ht="15" hidden="false" customHeight="false" outlineLevel="0" collapsed="false">
      <c r="A5" s="9" t="s">
        <v>31</v>
      </c>
      <c r="B5" s="9" t="n">
        <f aca="false">COUNTIF('Fotodokumentace VZT'!M6:M65,"Chybí foto")</f>
        <v>0</v>
      </c>
    </row>
    <row r="6" customFormat="false" ht="15" hidden="false" customHeight="false" outlineLevel="0" collapsed="false">
      <c r="A6" s="9" t="s">
        <v>32</v>
      </c>
      <c r="B6" s="10" t="n">
        <f aca="false">IF(B3=0,0,B4/B3)</f>
        <v>1</v>
      </c>
    </row>
    <row r="8" customFormat="false" ht="15" hidden="false" customHeight="false" outlineLevel="0" collapsed="false">
      <c r="A8" s="2" t="s">
        <v>33</v>
      </c>
    </row>
    <row r="9" customFormat="false" ht="15" hidden="false" customHeight="false" outlineLevel="0" collapsed="false">
      <c r="A9" s="9" t="s">
        <v>34</v>
      </c>
      <c r="B9" s="9" t="n">
        <f aca="false">COUNTIF('Fotodokumentace VZT'!F6:F65,A9)</f>
        <v>0</v>
      </c>
    </row>
    <row r="10" customFormat="false" ht="15" hidden="false" customHeight="false" outlineLevel="0" collapsed="false">
      <c r="A10" s="9" t="s">
        <v>21</v>
      </c>
      <c r="B10" s="9" t="n">
        <f aca="false">COUNTIF('Fotodokumentace VZT'!F6:F65,A10)</f>
        <v>1</v>
      </c>
    </row>
    <row r="11" customFormat="false" ht="15" hidden="false" customHeight="false" outlineLevel="0" collapsed="false">
      <c r="A11" s="9" t="s">
        <v>35</v>
      </c>
      <c r="B11" s="9" t="n">
        <f aca="false">COUNTIF('Fotodokumentace VZT'!F6:F65,A11)</f>
        <v>0</v>
      </c>
    </row>
    <row r="12" customFormat="false" ht="15" hidden="false" customHeight="false" outlineLevel="0" collapsed="false">
      <c r="A12" s="9" t="s">
        <v>36</v>
      </c>
      <c r="B12" s="9" t="n">
        <f aca="false">COUNTIF('Fotodokumentace VZT'!F6:F65,A12)</f>
        <v>0</v>
      </c>
    </row>
    <row r="13" customFormat="false" ht="15" hidden="false" customHeight="false" outlineLevel="0" collapsed="false">
      <c r="A13" s="9" t="s">
        <v>37</v>
      </c>
      <c r="B13" s="9" t="n">
        <f aca="false">COUNTIF('Fotodokumentace VZT'!F6:F65,A13)</f>
        <v>0</v>
      </c>
    </row>
    <row r="14" customFormat="false" ht="15" hidden="false" customHeight="false" outlineLevel="0" collapsed="false">
      <c r="A14" s="9" t="s">
        <v>38</v>
      </c>
      <c r="B14" s="9" t="n">
        <f aca="false">COUNTIF('Fotodokumentace VZT'!F6:F65,A14)</f>
        <v>0</v>
      </c>
    </row>
    <row r="15" customFormat="false" ht="15" hidden="false" customHeight="false" outlineLevel="0" collapsed="false">
      <c r="A15" s="9" t="s">
        <v>39</v>
      </c>
      <c r="B15" s="9" t="n">
        <f aca="false">COUNTIF('Fotodokumentace VZT'!F6:F65,A15)</f>
        <v>0</v>
      </c>
    </row>
    <row r="16" customFormat="false" ht="15" hidden="false" customHeight="false" outlineLevel="0" collapsed="false">
      <c r="A16" s="9" t="s">
        <v>40</v>
      </c>
      <c r="B16" s="9" t="n">
        <f aca="false">COUNTIF('Fotodokumentace VZT'!F6:F65,A16)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2026-10-19T02:43:07Z</dcterms:created>
  <dc:creator>openpyxl</dc:creator>
  <dc:description/>
  <dc:language>en-US</dc:language>
  <cp:lastModifiedBy/>
  <dcterms:modified xsi:type="dcterms:W3CDTF">2026-10-19T02:43:07Z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