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<sst xmlns="http://schemas.openxmlformats.org/spreadsheetml/2006/main" count="90" uniqueCount="40">
  <si>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</si>
  <si>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</si>
  <si>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</si>
  <si>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</si>
  <si>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</si>
  <si>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</si>
  <si>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</si>
  <si>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</si>
  <si>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</si>
  <si>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</si>
  <si>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</si>
  <si>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</si>
  <si>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</si>
  <si>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</si>
  <si>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</si>
  <si>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</si>
  <si>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</si>
  <si>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</si>
  <si>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</si>
  <si>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</si>
  <si>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</si>
  <si>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</si>
  <si>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</si>
  <si>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</si>
  <si>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Svorkovnice – zakončený a svinutý šedý kabel, zajištěný stahovacími páskami.</t>
  </si>
  <si>
    <t xml:space="preserve">Ventilátorová sekce jednotky Daikin – uvnitř odložena dokumentace (Installation and operation manual, option kit) a sáček s příslušenstvím.</t>
  </si>
  <si>
    <t xml:space="preserve">Otevřený rozvaděč jednotky – hlavní vypínač ABB, pojistky FU1–FU7, regulátor MicroTech 4, svorkovnice.</t>
  </si>
  <si>
    <t xml:space="preserve">Rozbočovací krabice – vodiče připojené svorkami WAGO, přívodní kabely.</t>
  </si>
  <si>
    <t xml:space="preserve">Celkový pohled na jednotky Daikin na střeše – ocelová konstrukce, lávka se zábradlím a schody, izolované potrubí.</t>
  </si>
  <si>
    <t xml:space="preserve">Fotodokumentace provedených úprav – VZT 1.2</t>
  </si>
  <si>
    <t xml:space="preserve">Fotodokumentace provedených úprav – VZT 2.1</t>
  </si>
  <si>
    <t xml:space="preserve">Fotodokumentace provedených úprav – VZT 2.2</t>
  </si>
  <si>
    <t xml:space="preserve">Fotodokumentace provedených úprav – VZT 3.1</t>
  </si>
  <si>
    <t xml:space="preserve">Fotodokumentace provedených úprav – VZT 3.2</t>
  </si>
  <si>
    <t xml:space="preserve">Fotodokumentace provedených úprav – VZT 4.1</t>
  </si>
  <si>
    <t xml:space="preserve">Fotodokumentace provedených úprav – VZT 4.2 a_b_c_d</t>
  </si>
  <si>
    <t xml:space="preserve">Část (a/b/c/d)</t>
  </si>
  <si>
    <t xml:space="preserve">Fotodokumentace provedených úprav – VZT 5.1</t>
  </si>
  <si>
    <t xml:space="preserve">Fotodokumentace provedených úprav – VZT 10.1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</si>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</sst>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2371320</xdr:colOff>
      <xdr:row>4</xdr:row>
      <xdr:rowOff>2371320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236240" y="82872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2371320</xdr:colOff>
      <xdr:row>5</xdr:row>
      <xdr:rowOff>2371320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236240" y="323856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2371320</xdr:colOff>
      <xdr:row>6</xdr:row>
      <xdr:rowOff>2371320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236240" y="564840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2371320</xdr:colOff>
      <xdr:row>7</xdr:row>
      <xdr:rowOff>2371320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6240" y="805824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2371320</xdr:colOff>
      <xdr:row>8</xdr:row>
      <xdr:rowOff>2371320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COUNTA('VZT 1.1'!D5:D24)</f>
        <v>5</v>
      </c>
      <c r="C5" s="7" t="str">
        <f aca="false">IF(COUNT('VZT 1.1'!B5:B24)=0,"",MAX('VZT 1.1'!B5:B24))</f>
        <v/>
      </c>
      <c r="D5" s="8"/>
    </row>
    <row r="6" customFormat="false" ht="15" hidden="false" customHeight="true" outlineLevel="0" collapsed="false">
      <c r="A6" s="5" t="s">
        <v>7</v>
      </c>
      <c r="B6" s="6" t="n">
        <f aca="false">COUNTA('VZT 1.2'!D5:D24)</f>
        <v>0</v>
      </c>
      <c r="C6" s="7" t="str">
        <f aca="false">IF(COUNT('VZT 1.2'!B5:B24)=0,"",MAX('VZT 1.2'!B5:B24))</f>
        <v/>
      </c>
      <c r="D6" s="8"/>
    </row>
    <row r="7" customFormat="false" ht="15" hidden="false" customHeight="true" outlineLevel="0" collapsed="false">
      <c r="A7" s="5" t="s">
        <v>8</v>
      </c>
      <c r="B7" s="6" t="n">
        <f aca="false">COUNTA('VZT 2.1'!D5:D24)</f>
        <v>0</v>
      </c>
      <c r="C7" s="7" t="str">
        <f aca="false">IF(COUNT('VZT 2.1'!B5:B24)=0,"",MAX('VZT 2.1'!B5:B24))</f>
        <v/>
      </c>
      <c r="D7" s="8"/>
    </row>
    <row r="8" customFormat="false" ht="15" hidden="false" customHeight="true" outlineLevel="0" collapsed="false">
      <c r="A8" s="5" t="s">
        <v>9</v>
      </c>
      <c r="B8" s="6" t="n">
        <f aca="false">COUNTA('VZT 2.2'!D5:D24)</f>
        <v>0</v>
      </c>
      <c r="C8" s="7" t="str">
        <f aca="false">IF(COUNT('VZT 2.2'!B5:B24)=0,"",MAX('VZT 2.2'!B5:B24))</f>
        <v/>
      </c>
      <c r="D8" s="8"/>
    </row>
    <row r="9" customFormat="false" ht="15" hidden="false" customHeight="true" outlineLevel="0" collapsed="false">
      <c r="A9" s="5" t="s">
        <v>10</v>
      </c>
      <c r="B9" s="6" t="n">
        <f aca="false">COUNTA('VZT 3.1'!D5:D24)</f>
        <v>0</v>
      </c>
      <c r="C9" s="7" t="str">
        <f aca="false">IF(COUNT('VZT 3.1'!B5:B24)=0,"",MAX('VZT 3.1'!B5:B24))</f>
        <v/>
      </c>
      <c r="D9" s="8"/>
    </row>
    <row r="10" customFormat="false" ht="15" hidden="false" customHeight="true" outlineLevel="0" collapsed="false">
      <c r="A10" s="5" t="s">
        <v>11</v>
      </c>
      <c r="B10" s="6" t="n">
        <f aca="false">COUNTA('VZT 3.2'!D5:D24)</f>
        <v>0</v>
      </c>
      <c r="C10" s="7" t="str">
        <f aca="false">IF(COUNT('VZT 3.2'!B5:B24)=0,"",MAX('VZT 3.2'!B5:B24))</f>
        <v/>
      </c>
      <c r="D10" s="8"/>
    </row>
    <row r="11" customFormat="false" ht="15" hidden="false" customHeight="true" outlineLevel="0" collapsed="false">
      <c r="A11" s="5" t="s">
        <v>12</v>
      </c>
      <c r="B11" s="6" t="n">
        <f aca="false">COUNTA('VZT 4.1'!D5:D24)</f>
        <v>0</v>
      </c>
      <c r="C11" s="7" t="str">
        <f aca="false">IF(COUNT('VZT 4.1'!B5:B24)=0,"",MAX('VZT 4.1'!B5:B24))</f>
        <v/>
      </c>
      <c r="D11" s="8"/>
    </row>
    <row r="12" customFormat="false" ht="15" hidden="false" customHeight="true" outlineLevel="0" collapsed="false">
      <c r="A12" s="5" t="s">
        <v>13</v>
      </c>
      <c r="B12" s="6" t="n">
        <f aca="false">COUNTA('VZT 4.2 a_b_c_d'!E5:E24)</f>
        <v>0</v>
      </c>
      <c r="C12" s="7" t="str">
        <f aca="false">IF(COUNT('VZT 4.2 a_b_c_d'!C5:C24)=0,"",MAX('VZT 4.2 a_b_c_d'!C5:C24))</f>
        <v/>
      </c>
      <c r="D12" s="8"/>
    </row>
    <row r="13" customFormat="false" ht="15" hidden="false" customHeight="true" outlineLevel="0" collapsed="false">
      <c r="A13" s="5" t="s">
        <v>14</v>
      </c>
      <c r="B13" s="6" t="n">
        <f aca="false">COUNTA('VZT 5.1'!D5:D24)</f>
        <v>0</v>
      </c>
      <c r="C13" s="7" t="str">
        <f aca="false">IF(COUNT('VZT 5.1'!B5:B24)=0,"",MAX('VZT 5.1'!B5:B24))</f>
        <v/>
      </c>
      <c r="D13" s="8"/>
    </row>
    <row r="14" customFormat="false" ht="15" hidden="false" customHeight="true" outlineLevel="0" collapsed="false">
      <c r="A14" s="5" t="s">
        <v>15</v>
      </c>
      <c r="B14" s="6" t="n">
        <f aca="false">COUNTA('VZT 10.1'!D5:D24)</f>
        <v>0</v>
      </c>
      <c r="C14" s="7" t="str">
        <f aca="false">IF(COUNT('VZT 10.1'!B5:B24)=0,"",MAX('VZT 10.1'!B5:B24))</f>
        <v/>
      </c>
      <c r="D14" s="8"/>
    </row>
    <row r="15" customFormat="false" ht="15" hidden="false" customHeight="true" outlineLevel="0" collapsed="false">
      <c r="A15" s="5" t="s">
        <v>16</v>
      </c>
      <c r="B15" s="6" t="n">
        <f aca="false">COUNTA(Odpad!D5:D24)</f>
        <v>0</v>
      </c>
      <c r="C15" s="7" t="str">
        <f aca="false">IF(COUNT(Odpad!B5:B24)=0,"",MAX(Odpad!B5:B24))</f>
        <v/>
      </c>
      <c r="D15" s="8"/>
    </row>
    <row r="16" customFormat="false" ht="15" hidden="false" customHeight="true" outlineLevel="0" collapsed="false">
      <c r="A16" s="9" t="s">
        <v>17</v>
      </c>
      <c r="B16" s="9" t="n">
        <f aca="false">SUM(B5:B15)</f>
        <v>5</v>
      </c>
      <c r="C16" s="10"/>
      <c r="D16" s="10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18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24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25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26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27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28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31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32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50"/>
  </cols>
  <sheetData>
    <row r="1" customFormat="false" ht="17.25" hidden="false" customHeight="true" outlineLevel="0" collapsed="false">
      <c r="A1" s="2" t="s">
        <v>35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36</v>
      </c>
      <c r="C4" s="11" t="s">
        <v>21</v>
      </c>
      <c r="D4" s="11" t="s">
        <v>22</v>
      </c>
      <c r="E4" s="11" t="s">
        <v>23</v>
      </c>
    </row>
    <row r="5" customFormat="false" ht="189.75" hidden="false" customHeight="true" outlineLevel="0" collapsed="false">
      <c r="A5" s="12" t="n">
        <v>1</v>
      </c>
      <c r="B5" s="16"/>
      <c r="C5" s="13"/>
      <c r="D5" s="14"/>
      <c r="E5" s="15"/>
    </row>
    <row r="6" customFormat="false" ht="189.75" hidden="false" customHeight="true" outlineLevel="0" collapsed="false">
      <c r="A6" s="12" t="n">
        <v>2</v>
      </c>
      <c r="B6" s="16"/>
      <c r="C6" s="13"/>
      <c r="D6" s="14"/>
      <c r="E6" s="15"/>
    </row>
    <row r="7" customFormat="false" ht="189.75" hidden="false" customHeight="true" outlineLevel="0" collapsed="false">
      <c r="A7" s="12" t="n">
        <v>3</v>
      </c>
      <c r="B7" s="16"/>
      <c r="C7" s="13"/>
      <c r="D7" s="14"/>
      <c r="E7" s="15"/>
    </row>
    <row r="8" customFormat="false" ht="189.75" hidden="false" customHeight="true" outlineLevel="0" collapsed="false">
      <c r="A8" s="12" t="n">
        <v>4</v>
      </c>
      <c r="B8" s="16"/>
      <c r="C8" s="13"/>
      <c r="D8" s="14"/>
      <c r="E8" s="15"/>
    </row>
    <row r="9" customFormat="false" ht="189.75" hidden="false" customHeight="true" outlineLevel="0" collapsed="false">
      <c r="A9" s="12" t="n">
        <v>5</v>
      </c>
      <c r="B9" s="16"/>
      <c r="C9" s="13"/>
      <c r="D9" s="14"/>
      <c r="E9" s="15"/>
    </row>
    <row r="10" customFormat="false" ht="189.75" hidden="false" customHeight="true" outlineLevel="0" collapsed="false">
      <c r="A10" s="12" t="n">
        <v>6</v>
      </c>
      <c r="B10" s="16"/>
      <c r="C10" s="13"/>
      <c r="D10" s="14"/>
      <c r="E10" s="15"/>
    </row>
    <row r="11" customFormat="false" ht="189.75" hidden="false" customHeight="true" outlineLevel="0" collapsed="false">
      <c r="A11" s="12" t="n">
        <v>7</v>
      </c>
      <c r="B11" s="16"/>
      <c r="C11" s="13"/>
      <c r="D11" s="14"/>
      <c r="E11" s="15"/>
    </row>
    <row r="12" customFormat="false" ht="189.75" hidden="false" customHeight="true" outlineLevel="0" collapsed="false">
      <c r="A12" s="12" t="n">
        <v>8</v>
      </c>
      <c r="B12" s="16"/>
      <c r="C12" s="13"/>
      <c r="D12" s="14"/>
      <c r="E12" s="15"/>
    </row>
    <row r="13" customFormat="false" ht="189.75" hidden="false" customHeight="true" outlineLevel="0" collapsed="false">
      <c r="A13" s="12" t="n">
        <v>9</v>
      </c>
      <c r="B13" s="16"/>
      <c r="C13" s="13"/>
      <c r="D13" s="14"/>
      <c r="E13" s="15"/>
    </row>
    <row r="14" customFormat="false" ht="189.75" hidden="false" customHeight="true" outlineLevel="0" collapsed="false">
      <c r="A14" s="12" t="n">
        <v>10</v>
      </c>
      <c r="B14" s="16"/>
      <c r="C14" s="13"/>
      <c r="D14" s="14"/>
      <c r="E14" s="15"/>
    </row>
    <row r="15" customFormat="false" ht="189.75" hidden="false" customHeight="true" outlineLevel="0" collapsed="false">
      <c r="A15" s="12" t="n">
        <v>11</v>
      </c>
      <c r="B15" s="16"/>
      <c r="C15" s="13"/>
      <c r="D15" s="14"/>
      <c r="E15" s="15"/>
    </row>
    <row r="16" customFormat="false" ht="189.75" hidden="false" customHeight="true" outlineLevel="0" collapsed="false">
      <c r="A16" s="12" t="n">
        <v>12</v>
      </c>
      <c r="B16" s="16"/>
      <c r="C16" s="13"/>
      <c r="D16" s="14"/>
      <c r="E16" s="15"/>
    </row>
    <row r="17" customFormat="false" ht="189.75" hidden="false" customHeight="true" outlineLevel="0" collapsed="false">
      <c r="A17" s="12" t="n">
        <v>13</v>
      </c>
      <c r="B17" s="16"/>
      <c r="C17" s="13"/>
      <c r="D17" s="14"/>
      <c r="E17" s="15"/>
    </row>
    <row r="18" customFormat="false" ht="189.75" hidden="false" customHeight="true" outlineLevel="0" collapsed="false">
      <c r="A18" s="12" t="n">
        <v>14</v>
      </c>
      <c r="B18" s="16"/>
      <c r="C18" s="13"/>
      <c r="D18" s="14"/>
      <c r="E18" s="15"/>
    </row>
    <row r="19" customFormat="false" ht="189.75" hidden="false" customHeight="true" outlineLevel="0" collapsed="false">
      <c r="A19" s="12" t="n">
        <v>15</v>
      </c>
      <c r="B19" s="16"/>
      <c r="C19" s="13"/>
      <c r="D19" s="14"/>
      <c r="E19" s="15"/>
    </row>
    <row r="20" customFormat="false" ht="189.75" hidden="false" customHeight="true" outlineLevel="0" collapsed="false">
      <c r="A20" s="12" t="n">
        <v>16</v>
      </c>
      <c r="B20" s="16"/>
      <c r="C20" s="13"/>
      <c r="D20" s="14"/>
      <c r="E20" s="15"/>
    </row>
    <row r="21" customFormat="false" ht="189.75" hidden="false" customHeight="true" outlineLevel="0" collapsed="false">
      <c r="A21" s="12" t="n">
        <v>17</v>
      </c>
      <c r="B21" s="16"/>
      <c r="C21" s="13"/>
      <c r="D21" s="14"/>
      <c r="E21" s="15"/>
    </row>
    <row r="22" customFormat="false" ht="189.75" hidden="false" customHeight="true" outlineLevel="0" collapsed="false">
      <c r="A22" s="12" t="n">
        <v>18</v>
      </c>
      <c r="B22" s="16"/>
      <c r="C22" s="13"/>
      <c r="D22" s="14"/>
      <c r="E22" s="15"/>
    </row>
    <row r="23" customFormat="false" ht="189.75" hidden="false" customHeight="true" outlineLevel="0" collapsed="false">
      <c r="A23" s="12" t="n">
        <v>19</v>
      </c>
      <c r="B23" s="16"/>
      <c r="C23" s="13"/>
      <c r="D23" s="14"/>
      <c r="E23" s="15"/>
    </row>
    <row r="24" customFormat="false" ht="189.75" hidden="false" customHeight="true" outlineLevel="0" collapsed="false">
      <c r="A24" s="12" t="n">
        <v>20</v>
      </c>
      <c r="B24" s="16"/>
      <c r="C24" s="13"/>
      <c r="D24" s="14"/>
      <c r="E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2026-10-19T02:57:20Z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